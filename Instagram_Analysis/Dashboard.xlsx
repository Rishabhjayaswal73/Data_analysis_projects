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instagram analysis\"/>
    </mc:Choice>
  </mc:AlternateContent>
  <bookViews>
    <workbookView xWindow="0" yWindow="0" windowWidth="23040" windowHeight="8496" activeTab="2"/>
  </bookViews>
  <sheets>
    <sheet name="Sheet2" sheetId="3" r:id="rId1"/>
    <sheet name="cleaned_data" sheetId="1" r:id="rId2"/>
    <sheet name="Sheet1" sheetId="2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L6" i="1" l="1"/>
  <c r="L5" i="1"/>
  <c r="L4" i="1"/>
</calcChain>
</file>

<file path=xl/sharedStrings.xml><?xml version="1.0" encoding="utf-8"?>
<sst xmlns="http://schemas.openxmlformats.org/spreadsheetml/2006/main" count="422" uniqueCount="238">
  <si>
    <t>ranks</t>
  </si>
  <si>
    <t>channel_info</t>
  </si>
  <si>
    <t>influence_score</t>
  </si>
  <si>
    <t>total_post</t>
  </si>
  <si>
    <t>followers_clean</t>
  </si>
  <si>
    <t>avg_likes_clean</t>
  </si>
  <si>
    <t>60_eng_rate_clean</t>
  </si>
  <si>
    <t>post_avg_like_clean</t>
  </si>
  <si>
    <t>total_likes_clean</t>
  </si>
  <si>
    <t>country</t>
  </si>
  <si>
    <t>cristiano</t>
  </si>
  <si>
    <t>Spain</t>
  </si>
  <si>
    <t>kyliejenner</t>
  </si>
  <si>
    <t>United States</t>
  </si>
  <si>
    <t>leomessi</t>
  </si>
  <si>
    <t>Unknown</t>
  </si>
  <si>
    <t>selenagomez</t>
  </si>
  <si>
    <t>therock</t>
  </si>
  <si>
    <t>kimkardashian</t>
  </si>
  <si>
    <t>arianagrande</t>
  </si>
  <si>
    <t>beyonce</t>
  </si>
  <si>
    <t>khloekardashian</t>
  </si>
  <si>
    <t>justinbieber</t>
  </si>
  <si>
    <t>Canada</t>
  </si>
  <si>
    <t>kendalljenner</t>
  </si>
  <si>
    <t>natgeo</t>
  </si>
  <si>
    <t>nike</t>
  </si>
  <si>
    <t>taylorswift</t>
  </si>
  <si>
    <t>jlo</t>
  </si>
  <si>
    <t>virat.kohli</t>
  </si>
  <si>
    <t>nickiminaj</t>
  </si>
  <si>
    <t>kourtneykardash</t>
  </si>
  <si>
    <t>mileycyrus</t>
  </si>
  <si>
    <t>neymarjr</t>
  </si>
  <si>
    <t>Brazil</t>
  </si>
  <si>
    <t>katyperry</t>
  </si>
  <si>
    <t>kevinhart4real</t>
  </si>
  <si>
    <t>zendaya</t>
  </si>
  <si>
    <t>iamcardib</t>
  </si>
  <si>
    <t>ddlovato</t>
  </si>
  <si>
    <t>badgalriri</t>
  </si>
  <si>
    <t>kingjames</t>
  </si>
  <si>
    <t>theellenshow</t>
  </si>
  <si>
    <t>realmadrid</t>
  </si>
  <si>
    <t>champagnepapi</t>
  </si>
  <si>
    <t>Netherlands</t>
  </si>
  <si>
    <t>chrisbrownofficial</t>
  </si>
  <si>
    <t>fcbarcelona</t>
  </si>
  <si>
    <t>billieeilish</t>
  </si>
  <si>
    <t>dualipa</t>
  </si>
  <si>
    <t>United Kingdom</t>
  </si>
  <si>
    <t>gal_gadot</t>
  </si>
  <si>
    <t>vindiesel</t>
  </si>
  <si>
    <t>nasa</t>
  </si>
  <si>
    <t>priyankachopra</t>
  </si>
  <si>
    <t>lalalalisa_m</t>
  </si>
  <si>
    <t>Shakira</t>
  </si>
  <si>
    <t>snoopdogg</t>
  </si>
  <si>
    <t>gigihadid</t>
  </si>
  <si>
    <t>davidbeckham</t>
  </si>
  <si>
    <t>shraddhakapoor</t>
  </si>
  <si>
    <t>victoriassecret</t>
  </si>
  <si>
    <t>k.mbappe</t>
  </si>
  <si>
    <t>nehakakkar</t>
  </si>
  <si>
    <t>India</t>
  </si>
  <si>
    <t>nba</t>
  </si>
  <si>
    <t>shawnmendes</t>
  </si>
  <si>
    <t>jennierubyjane</t>
  </si>
  <si>
    <t>narendramodi</t>
  </si>
  <si>
    <t>aliaabhatt</t>
  </si>
  <si>
    <t>deepikapadukone</t>
  </si>
  <si>
    <t>tomholland2013</t>
  </si>
  <si>
    <t>ronaldinho</t>
  </si>
  <si>
    <t>emmawatson</t>
  </si>
  <si>
    <t>bts.bighitofficial</t>
  </si>
  <si>
    <t>Uruguay</t>
  </si>
  <si>
    <t>katrinakaif</t>
  </si>
  <si>
    <t>marvel</t>
  </si>
  <si>
    <t>Turkey</t>
  </si>
  <si>
    <t>justintimberlake</t>
  </si>
  <si>
    <t>camila_cabello</t>
  </si>
  <si>
    <t>willsmith</t>
  </si>
  <si>
    <t>raffinagita1717</t>
  </si>
  <si>
    <t>Indonesia</t>
  </si>
  <si>
    <t>anitta</t>
  </si>
  <si>
    <t>sooyaaa__</t>
  </si>
  <si>
    <t>maluma</t>
  </si>
  <si>
    <t>Colombia</t>
  </si>
  <si>
    <t>akshaykumar</t>
  </si>
  <si>
    <t>jacquelinef143</t>
  </si>
  <si>
    <t>psg</t>
  </si>
  <si>
    <t>France</t>
  </si>
  <si>
    <t>roses_are_rosie</t>
  </si>
  <si>
    <t>manchesterunited</t>
  </si>
  <si>
    <t>anushkasharma</t>
  </si>
  <si>
    <t>whinderssonnunes</t>
  </si>
  <si>
    <t>9gag</t>
  </si>
  <si>
    <t>marcelotwelve</t>
  </si>
  <si>
    <t>milliebobbybrown</t>
  </si>
  <si>
    <t>karimbenzema</t>
  </si>
  <si>
    <t>chrishemsworth</t>
  </si>
  <si>
    <t>Australia</t>
  </si>
  <si>
    <t>karolg</t>
  </si>
  <si>
    <t>paulpogba</t>
  </si>
  <si>
    <t>iamzlatanibrahimovic</t>
  </si>
  <si>
    <t>leonardodicaprio</t>
  </si>
  <si>
    <t>juventus</t>
  </si>
  <si>
    <t>zacefron</t>
  </si>
  <si>
    <t>bellahadid</t>
  </si>
  <si>
    <t>tatawerneck</t>
  </si>
  <si>
    <t>beingsalmankhan</t>
  </si>
  <si>
    <t>robertdowneyjr</t>
  </si>
  <si>
    <t>sunnyleone</t>
  </si>
  <si>
    <t>ladygaga</t>
  </si>
  <si>
    <t>dishapatani</t>
  </si>
  <si>
    <t>sergioramos</t>
  </si>
  <si>
    <t>jbalvin</t>
  </si>
  <si>
    <t>mosalah</t>
  </si>
  <si>
    <t>ayutingting92</t>
  </si>
  <si>
    <t>hudabeauty</t>
  </si>
  <si>
    <t>adele</t>
  </si>
  <si>
    <t>michelleobama</t>
  </si>
  <si>
    <t>kritisanon</t>
  </si>
  <si>
    <t>jamesrodriguez10</t>
  </si>
  <si>
    <t>krisjenner</t>
  </si>
  <si>
    <t>thv</t>
  </si>
  <si>
    <t>lelepons</t>
  </si>
  <si>
    <t>charlidamelio</t>
  </si>
  <si>
    <t>gucci</t>
  </si>
  <si>
    <t>Italy</t>
  </si>
  <si>
    <t>prillylatuconsina96</t>
  </si>
  <si>
    <t>louisvuitton</t>
  </si>
  <si>
    <t>paulodybala</t>
  </si>
  <si>
    <t>blackpinkofficial</t>
  </si>
  <si>
    <t>dovecameron</t>
  </si>
  <si>
    <t>garethbale11</t>
  </si>
  <si>
    <t>jokowi</t>
  </si>
  <si>
    <t>nusr_et</t>
  </si>
  <si>
    <t>United Arab Emirates</t>
  </si>
  <si>
    <t>harrystyles</t>
  </si>
  <si>
    <t>haileybieber</t>
  </si>
  <si>
    <t>vanessahudgens</t>
  </si>
  <si>
    <t>5-Minute Crafts GIRLY</t>
  </si>
  <si>
    <t>zayn</t>
  </si>
  <si>
    <t>larissamanoela</t>
  </si>
  <si>
    <t>travisscott</t>
  </si>
  <si>
    <t>thenotoriousmma</t>
  </si>
  <si>
    <t>daddyyankee</t>
  </si>
  <si>
    <t>Puerto Rico</t>
  </si>
  <si>
    <t>natgeotravel</t>
  </si>
  <si>
    <t>nikefootball</t>
  </si>
  <si>
    <t>stephencurry30</t>
  </si>
  <si>
    <t>vancityreynolds</t>
  </si>
  <si>
    <t>maisa</t>
  </si>
  <si>
    <t>luissuarez9</t>
  </si>
  <si>
    <t>gusttavolima</t>
  </si>
  <si>
    <t>jannatzubair29</t>
  </si>
  <si>
    <t>varundvn</t>
  </si>
  <si>
    <t>hrithikroshan</t>
  </si>
  <si>
    <t>C??te d'Ivoire</t>
  </si>
  <si>
    <t>nickyjampr</t>
  </si>
  <si>
    <t>buzzfeedtasty</t>
  </si>
  <si>
    <t>brunamarquezine</t>
  </si>
  <si>
    <t>caradelevingne</t>
  </si>
  <si>
    <t>kapilsharma</t>
  </si>
  <si>
    <t>badbunnypr</t>
  </si>
  <si>
    <t>britneyspears</t>
  </si>
  <si>
    <t>j.m</t>
  </si>
  <si>
    <t>mariliamendoncacantora</t>
  </si>
  <si>
    <t>norafatehi</t>
  </si>
  <si>
    <t>Anguilla</t>
  </si>
  <si>
    <t>theweeknd</t>
  </si>
  <si>
    <t>dior</t>
  </si>
  <si>
    <t>ranveersingh</t>
  </si>
  <si>
    <t>Switzerland</t>
  </si>
  <si>
    <t>marinaruybarbosa</t>
  </si>
  <si>
    <t>jenniferaniston</t>
  </si>
  <si>
    <t>addisonraee</t>
  </si>
  <si>
    <t>andresiniesta8</t>
  </si>
  <si>
    <t>princessyahrini</t>
  </si>
  <si>
    <t>liverpoolfc</t>
  </si>
  <si>
    <t>teddysphotos</t>
  </si>
  <si>
    <t>worldstar</t>
  </si>
  <si>
    <t>natashawilona12</t>
  </si>
  <si>
    <t>mahi7781</t>
  </si>
  <si>
    <t>georginagio</t>
  </si>
  <si>
    <t>cznburak</t>
  </si>
  <si>
    <t>chrissyteigen</t>
  </si>
  <si>
    <t>ruben_onsu</t>
  </si>
  <si>
    <t>wizkhalifa</t>
  </si>
  <si>
    <t>hm</t>
  </si>
  <si>
    <t>Sweden</t>
  </si>
  <si>
    <t>anushkasen0408</t>
  </si>
  <si>
    <t>prattprattpratt</t>
  </si>
  <si>
    <t>marvelstudios</t>
  </si>
  <si>
    <t>wesleysafadao</t>
  </si>
  <si>
    <t>parineetichopra</t>
  </si>
  <si>
    <t>rkive</t>
  </si>
  <si>
    <t>laudyacynthiabella</t>
  </si>
  <si>
    <t>antogriezmann</t>
  </si>
  <si>
    <t>gisel_la</t>
  </si>
  <si>
    <t>eminem</t>
  </si>
  <si>
    <t>mercedesbenz</t>
  </si>
  <si>
    <t>British Virgin Islands</t>
  </si>
  <si>
    <t>colesprouse</t>
  </si>
  <si>
    <t>nattinatasha</t>
  </si>
  <si>
    <t>Czech Republic</t>
  </si>
  <si>
    <t>shahidkapoor</t>
  </si>
  <si>
    <t>tigerjackieshroff</t>
  </si>
  <si>
    <t>kimberly.loaiza</t>
  </si>
  <si>
    <t>Mexico</t>
  </si>
  <si>
    <t>barackobama</t>
  </si>
  <si>
    <t>sachintendulkar</t>
  </si>
  <si>
    <t>simonemendes</t>
  </si>
  <si>
    <t>ivetesangalo</t>
  </si>
  <si>
    <t>lunamaya</t>
  </si>
  <si>
    <t>toni.kr8s</t>
  </si>
  <si>
    <t>dannapaola</t>
  </si>
  <si>
    <t>paollaoliveirareal</t>
  </si>
  <si>
    <t>blakelively</t>
  </si>
  <si>
    <t>adidasoriginals</t>
  </si>
  <si>
    <t>disney</t>
  </si>
  <si>
    <t>shaymitchell</t>
  </si>
  <si>
    <t>bmw</t>
  </si>
  <si>
    <t>Germany</t>
  </si>
  <si>
    <t>danbilzerian</t>
  </si>
  <si>
    <t>khabib_nurmagomedov</t>
  </si>
  <si>
    <t>Russia</t>
  </si>
  <si>
    <t>zidane</t>
  </si>
  <si>
    <t>sonamkapoor</t>
  </si>
  <si>
    <t>iambeckyg</t>
  </si>
  <si>
    <t>nancyajram</t>
  </si>
  <si>
    <t>luansantana</t>
  </si>
  <si>
    <t>nickjonas</t>
  </si>
  <si>
    <t>raisa6690</t>
  </si>
  <si>
    <t>Row Labels</t>
  </si>
  <si>
    <t>Grand Total</t>
  </si>
  <si>
    <t>Sum of followers_clean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</si>
</sst>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Country VS Followers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3399"/>
          </a:solidFill>
          <a:ln>
            <a:noFill/>
          </a:ln>
          <a:effectLst/>
        </c:spPr>
      </c:pivotFmt>
      <c:pivotFmt>
        <c:idx val="2"/>
        <c:spPr>
          <a:solidFill>
            <a:srgbClr val="FF3399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3399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Unknown</c:v>
                </c:pt>
                <c:pt idx="2">
                  <c:v>Spain</c:v>
                </c:pt>
                <c:pt idx="3">
                  <c:v>Brazil</c:v>
                </c:pt>
                <c:pt idx="4">
                  <c:v>India</c:v>
                </c:pt>
                <c:pt idx="5">
                  <c:v>Canada</c:v>
                </c:pt>
                <c:pt idx="6">
                  <c:v>Indonesia</c:v>
                </c:pt>
                <c:pt idx="7">
                  <c:v>France</c:v>
                </c:pt>
                <c:pt idx="8">
                  <c:v>United Kingdom</c:v>
                </c:pt>
                <c:pt idx="9">
                  <c:v>Netherlands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7147700000</c:v>
                </c:pt>
                <c:pt idx="1">
                  <c:v>3927700000</c:v>
                </c:pt>
                <c:pt idx="2">
                  <c:v>739300000</c:v>
                </c:pt>
                <c:pt idx="3">
                  <c:v>735900000</c:v>
                </c:pt>
                <c:pt idx="4">
                  <c:v>677400000</c:v>
                </c:pt>
                <c:pt idx="5">
                  <c:v>358000000</c:v>
                </c:pt>
                <c:pt idx="6">
                  <c:v>313300000</c:v>
                </c:pt>
                <c:pt idx="7">
                  <c:v>269000000</c:v>
                </c:pt>
                <c:pt idx="8">
                  <c:v>239500000</c:v>
                </c:pt>
                <c:pt idx="9">
                  <c:v>170800000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4-4D68-9775-6B5360F6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2690527"/>
        <c:axId val="362690943"/>
      </c:barChart>
      <c:catAx>
        <c:axId val="3626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90943"/>
        <c:crosses val="autoZero"/>
        <c:auto val="1"/>
        <c:lblAlgn val="ctr"/>
        <c:lblOffset val="100"/>
        <c:noMultiLvlLbl val="0"/>
      </c:catAx>
      <c:valAx>
        <c:axId val="3626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29</xdr:col>
      <xdr:colOff>53340</xdr:colOff>
      <xdr:row>1</xdr:row>
      <xdr:rowOff>99060</xdr:rowOff>
    </xdr:to>
    <xdr:sp macro="" textlink="">
      <xdr:nvSpPr>
        <xdr:cNvPr id="3" name="TextBox 2"/>
        <xdr:cNvSpPr txBox="1"/>
      </xdr:nvSpPr>
      <xdr:spPr>
        <a:xfrm>
          <a:off x="0" y="7620"/>
          <a:ext cx="1773174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INSTAGRAM DASHBOARD "Unfortunetly</a:t>
          </a:r>
          <a:r>
            <a:rPr lang="en-IN" sz="1100" b="1" baseline="0"/>
            <a:t> i forgot to save dashborad and it had been deleted"</a:t>
          </a:r>
          <a:endParaRPr lang="en-IN" sz="1100" b="1"/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2</xdr:col>
      <xdr:colOff>365760</xdr:colOff>
      <xdr:row>9</xdr:row>
      <xdr:rowOff>38100</xdr:rowOff>
    </xdr:to>
    <xdr:sp macro="" textlink="">
      <xdr:nvSpPr>
        <xdr:cNvPr id="4" name="Rectangle 3"/>
        <xdr:cNvSpPr/>
      </xdr:nvSpPr>
      <xdr:spPr>
        <a:xfrm>
          <a:off x="76200" y="335280"/>
          <a:ext cx="1508760" cy="13487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167639</xdr:colOff>
      <xdr:row>1</xdr:row>
      <xdr:rowOff>167640</xdr:rowOff>
    </xdr:from>
    <xdr:to>
      <xdr:col>2</xdr:col>
      <xdr:colOff>266700</xdr:colOff>
      <xdr:row>9</xdr:row>
      <xdr:rowOff>18467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39" y="350520"/>
          <a:ext cx="1318261" cy="1313867"/>
        </a:xfrm>
        <a:prstGeom prst="rect">
          <a:avLst/>
        </a:prstGeom>
      </xdr:spPr>
    </xdr:pic>
    <xdr:clientData/>
  </xdr:twoCellAnchor>
  <xdr:twoCellAnchor>
    <xdr:from>
      <xdr:col>2</xdr:col>
      <xdr:colOff>403860</xdr:colOff>
      <xdr:row>1</xdr:row>
      <xdr:rowOff>152400</xdr:rowOff>
    </xdr:from>
    <xdr:to>
      <xdr:col>5</xdr:col>
      <xdr:colOff>190500</xdr:colOff>
      <xdr:row>9</xdr:row>
      <xdr:rowOff>38100</xdr:rowOff>
    </xdr:to>
    <xdr:grpSp>
      <xdr:nvGrpSpPr>
        <xdr:cNvPr id="8" name="Group 7"/>
        <xdr:cNvGrpSpPr/>
      </xdr:nvGrpSpPr>
      <xdr:grpSpPr>
        <a:xfrm>
          <a:off x="1625806" y="337751"/>
          <a:ext cx="1619559" cy="1368511"/>
          <a:chOff x="1607820" y="335280"/>
          <a:chExt cx="1607820" cy="1348740"/>
        </a:xfrm>
      </xdr:grpSpPr>
      <xdr:sp macro="" textlink="">
        <xdr:nvSpPr>
          <xdr:cNvPr id="5" name="Rectangle 4"/>
          <xdr:cNvSpPr/>
        </xdr:nvSpPr>
        <xdr:spPr>
          <a:xfrm>
            <a:off x="1607820" y="335280"/>
            <a:ext cx="1562100" cy="13487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TextBox 5"/>
          <xdr:cNvSpPr txBox="1"/>
        </xdr:nvSpPr>
        <xdr:spPr>
          <a:xfrm>
            <a:off x="1630680" y="563880"/>
            <a:ext cx="15849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 Total</a:t>
            </a:r>
            <a:r>
              <a:rPr lang="en-IN" sz="1400" b="1" baseline="0"/>
              <a:t> Influencers</a:t>
            </a:r>
            <a:endParaRPr lang="en-IN" sz="1400" b="1"/>
          </a:p>
        </xdr:txBody>
      </xdr:sp>
      <xdr:sp macro="" textlink="cleaned_data!L4">
        <xdr:nvSpPr>
          <xdr:cNvPr id="7" name="TextBox 6"/>
          <xdr:cNvSpPr txBox="1"/>
        </xdr:nvSpPr>
        <xdr:spPr>
          <a:xfrm>
            <a:off x="1676400" y="906780"/>
            <a:ext cx="13944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DBA2E1C-4A86-46BB-9AEC-AED397F3B8A6}" type="TxLink">
              <a:rPr lang="hi-Latn-IN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200</a:t>
            </a:fld>
            <a:endParaRPr lang="en-IN" sz="2000"/>
          </a:p>
        </xdr:txBody>
      </xdr:sp>
    </xdr:grpSp>
    <xdr:clientData/>
  </xdr:twoCellAnchor>
  <xdr:twoCellAnchor>
    <xdr:from>
      <xdr:col>5</xdr:col>
      <xdr:colOff>190500</xdr:colOff>
      <xdr:row>1</xdr:row>
      <xdr:rowOff>152400</xdr:rowOff>
    </xdr:from>
    <xdr:to>
      <xdr:col>17</xdr:col>
      <xdr:colOff>220980</xdr:colOff>
      <xdr:row>16</xdr:row>
      <xdr:rowOff>106680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9</xdr:row>
      <xdr:rowOff>68580</xdr:rowOff>
    </xdr:from>
    <xdr:to>
      <xdr:col>2</xdr:col>
      <xdr:colOff>396240</xdr:colOff>
      <xdr:row>16</xdr:row>
      <xdr:rowOff>114300</xdr:rowOff>
    </xdr:to>
    <xdr:grpSp>
      <xdr:nvGrpSpPr>
        <xdr:cNvPr id="10" name="Group 9"/>
        <xdr:cNvGrpSpPr/>
      </xdr:nvGrpSpPr>
      <xdr:grpSpPr>
        <a:xfrm>
          <a:off x="68580" y="1736742"/>
          <a:ext cx="1549606" cy="1343180"/>
          <a:chOff x="1607820" y="335280"/>
          <a:chExt cx="1599939" cy="1348740"/>
        </a:xfrm>
      </xdr:grpSpPr>
      <xdr:sp macro="" textlink="">
        <xdr:nvSpPr>
          <xdr:cNvPr id="11" name="Rectangle 10"/>
          <xdr:cNvSpPr/>
        </xdr:nvSpPr>
        <xdr:spPr>
          <a:xfrm>
            <a:off x="1607820" y="335280"/>
            <a:ext cx="1562100" cy="13487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622799" y="463112"/>
            <a:ext cx="1584960" cy="5542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/>
              <a:t> Average</a:t>
            </a:r>
            <a:r>
              <a:rPr lang="en-IN" sz="1400" b="1" baseline="0"/>
              <a:t> Engagement Rate</a:t>
            </a:r>
            <a:endParaRPr lang="en-IN" sz="1400" b="1"/>
          </a:p>
        </xdr:txBody>
      </xdr:sp>
      <xdr:sp macro="" textlink="cleaned_data!L6">
        <xdr:nvSpPr>
          <xdr:cNvPr id="13" name="TextBox 12"/>
          <xdr:cNvSpPr txBox="1"/>
        </xdr:nvSpPr>
        <xdr:spPr>
          <a:xfrm>
            <a:off x="1678149" y="961040"/>
            <a:ext cx="1422489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E6F0FFC-3D8E-4EEA-9599-658A674FCAC7}" type="TxLink">
              <a:rPr lang="hi-Latn-IN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0.00018925</a:t>
            </a:fld>
            <a:endParaRPr lang="en-IN" sz="3600"/>
          </a:p>
        </xdr:txBody>
      </xdr:sp>
    </xdr:grpSp>
    <xdr:clientData/>
  </xdr:twoCellAnchor>
  <xdr:twoCellAnchor>
    <xdr:from>
      <xdr:col>2</xdr:col>
      <xdr:colOff>396240</xdr:colOff>
      <xdr:row>9</xdr:row>
      <xdr:rowOff>68580</xdr:rowOff>
    </xdr:from>
    <xdr:to>
      <xdr:col>5</xdr:col>
      <xdr:colOff>198120</xdr:colOff>
      <xdr:row>16</xdr:row>
      <xdr:rowOff>114300</xdr:rowOff>
    </xdr:to>
    <xdr:grpSp>
      <xdr:nvGrpSpPr>
        <xdr:cNvPr id="14" name="Group 13"/>
        <xdr:cNvGrpSpPr/>
      </xdr:nvGrpSpPr>
      <xdr:grpSpPr>
        <a:xfrm>
          <a:off x="1618186" y="1736742"/>
          <a:ext cx="1634799" cy="1343180"/>
          <a:chOff x="1607820" y="335280"/>
          <a:chExt cx="1607820" cy="1348740"/>
        </a:xfrm>
      </xdr:grpSpPr>
      <xdr:sp macro="" textlink="">
        <xdr:nvSpPr>
          <xdr:cNvPr id="15" name="Rectangle 14"/>
          <xdr:cNvSpPr/>
        </xdr:nvSpPr>
        <xdr:spPr>
          <a:xfrm>
            <a:off x="1607820" y="335280"/>
            <a:ext cx="1562100" cy="13487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630680" y="563880"/>
            <a:ext cx="15849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 Total</a:t>
            </a:r>
            <a:r>
              <a:rPr lang="en-IN" sz="1400" b="1" baseline="0"/>
              <a:t> Influencers</a:t>
            </a:r>
            <a:endParaRPr lang="en-IN" sz="1400" b="1"/>
          </a:p>
        </xdr:txBody>
      </xdr:sp>
      <xdr:sp macro="" textlink="cleaned_data!L4">
        <xdr:nvSpPr>
          <xdr:cNvPr id="17" name="TextBox 16"/>
          <xdr:cNvSpPr txBox="1"/>
        </xdr:nvSpPr>
        <xdr:spPr>
          <a:xfrm>
            <a:off x="1676400" y="906780"/>
            <a:ext cx="1394460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DBA2E1C-4A86-46BB-9AEC-AED397F3B8A6}" type="TxLink">
              <a:rPr lang="hi-Latn-IN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200</a:t>
            </a:fld>
            <a:endParaRPr lang="en-IN" sz="20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10.480485532411" createdVersion="6" refreshedVersion="6" minRefreshableVersion="3" recordCount="200">
  <cacheSource type="worksheet">
    <worksheetSource name="Table1"/>
  </cacheSource>
  <cacheFields count="10">
    <cacheField name="ranks" numFmtId="0">
      <sharedItems containsSemiMixedTypes="0" containsString="0" containsNumber="1" containsInteger="1" minValue="1" maxValue="200"/>
    </cacheField>
    <cacheField name="channel_info" numFmtId="0">
      <sharedItems containsMixedTypes="1" containsNumber="1" containsInteger="1" minValue="433" maxValue="433"/>
    </cacheField>
    <cacheField name="influence_score" numFmtId="0">
      <sharedItems containsSemiMixedTypes="0" containsString="0" containsNumber="1" containsInteger="1" minValue="22" maxValue="93"/>
    </cacheField>
    <cacheField name="total_post" numFmtId="0">
      <sharedItems containsSemiMixedTypes="0" containsString="0" containsNumber="1" containsInteger="1" minValue="10" maxValue="17500"/>
    </cacheField>
    <cacheField name="followers_clean" numFmtId="0">
      <sharedItems containsSemiMixedTypes="0" containsString="0" containsNumber="1" containsInteger="1" minValue="32800000" maxValue="475800000"/>
    </cacheField>
    <cacheField name="avg_likes_clean" numFmtId="0">
      <sharedItems containsSemiMixedTypes="0" containsString="0" containsNumber="1" containsInteger="1" minValue="32800000" maxValue="475800000"/>
    </cacheField>
    <cacheField name="60_eng_rate_clean" numFmtId="0">
      <sharedItems containsSemiMixedTypes="0" containsString="0" containsNumber="1" minValue="0" maxValue="2.6410000000000001E-3"/>
    </cacheField>
    <cacheField name="post_avg_like_clean" numFmtId="0">
      <sharedItems containsSemiMixedTypes="0" containsString="0" containsNumber="1" containsInteger="1" minValue="0" maxValue="12600000"/>
    </cacheField>
    <cacheField name="total_likes_clean" numFmtId="0">
      <sharedItems containsSemiMixedTypes="0" containsString="0" containsNumber="1" containsInteger="1" minValue="18300000" maxValue="57400000000"/>
    </cacheField>
    <cacheField name="country" numFmtId="0">
      <sharedItems count="26">
        <s v="Spain"/>
        <s v="United States"/>
        <s v="Unknown"/>
        <s v="Canada"/>
        <s v="Brazil"/>
        <s v="Netherlands"/>
        <s v="United Kingdom"/>
        <s v="India"/>
        <s v="Uruguay"/>
        <s v="Turkey"/>
        <s v="Indonesia"/>
        <s v="Colombia"/>
        <s v="France"/>
        <s v="Australia"/>
        <s v="Italy"/>
        <s v="United Arab Emirates"/>
        <s v="Puerto Rico"/>
        <s v="C??te d'Ivoire"/>
        <s v="Anguilla"/>
        <s v="Switzerland"/>
        <s v="Sweden"/>
        <s v="British Virgin Islands"/>
        <s v="Czech Republic"/>
        <s v="Mexico"/>
        <s v="Germany"/>
        <s v="Rus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s v="cristiano"/>
    <n v="92"/>
    <n v="3300"/>
    <n v="475800000"/>
    <n v="475800000"/>
    <n v="1.3899999999999999E-4"/>
    <n v="6500000"/>
    <n v="29000000000"/>
    <x v="0"/>
  </r>
  <r>
    <n v="2"/>
    <s v="kyliejenner"/>
    <n v="91"/>
    <n v="6900"/>
    <n v="366200000"/>
    <n v="366200000"/>
    <n v="1.6200000000000001E-4"/>
    <n v="5900000"/>
    <n v="57400000000"/>
    <x v="1"/>
  </r>
  <r>
    <n v="3"/>
    <s v="leomessi"/>
    <n v="90"/>
    <n v="890"/>
    <n v="357300000"/>
    <n v="357300000"/>
    <n v="1.2400000000000001E-4"/>
    <n v="4400000"/>
    <n v="6000000000"/>
    <x v="2"/>
  </r>
  <r>
    <n v="4"/>
    <s v="selenagomez"/>
    <n v="93"/>
    <n v="1800"/>
    <n v="342700000"/>
    <n v="342700000"/>
    <n v="9.7E-5"/>
    <n v="3300000"/>
    <n v="11500000000"/>
    <x v="1"/>
  </r>
  <r>
    <n v="5"/>
    <s v="therock"/>
    <n v="91"/>
    <n v="6800"/>
    <n v="334100000"/>
    <n v="334100000"/>
    <n v="2.0000000000000002E-5"/>
    <n v="665300"/>
    <n v="12500000000"/>
    <x v="1"/>
  </r>
  <r>
    <n v="6"/>
    <s v="kimkardashian"/>
    <n v="91"/>
    <n v="5600"/>
    <n v="329200000"/>
    <n v="329200000"/>
    <n v="8.7999999999999998E-5"/>
    <n v="2900000"/>
    <n v="19900000000"/>
    <x v="1"/>
  </r>
  <r>
    <n v="7"/>
    <s v="arianagrande"/>
    <n v="92"/>
    <n v="5000"/>
    <n v="327700000"/>
    <n v="327700000"/>
    <n v="1.2E-4"/>
    <n v="3900000"/>
    <n v="18400000000"/>
    <x v="1"/>
  </r>
  <r>
    <n v="8"/>
    <s v="beyonce"/>
    <n v="92"/>
    <n v="2000"/>
    <n v="272800000"/>
    <n v="272800000"/>
    <n v="7.6000000000000004E-5"/>
    <n v="2000000"/>
    <n v="7400000000"/>
    <x v="1"/>
  </r>
  <r>
    <n v="9"/>
    <s v="khloekardashian"/>
    <n v="89"/>
    <n v="4100"/>
    <n v="268300000"/>
    <n v="268300000"/>
    <n v="3.4999999999999997E-5"/>
    <n v="926900"/>
    <n v="9800000000"/>
    <x v="1"/>
  </r>
  <r>
    <n v="10"/>
    <s v="justinbieber"/>
    <n v="91"/>
    <n v="7400"/>
    <n v="254500000"/>
    <n v="254500000"/>
    <n v="5.8999999999999998E-5"/>
    <n v="1500000"/>
    <n v="13900000000"/>
    <x v="3"/>
  </r>
  <r>
    <n v="11"/>
    <s v="kendalljenner"/>
    <n v="90"/>
    <n v="660"/>
    <n v="254000000"/>
    <n v="254000000"/>
    <n v="2.04E-4"/>
    <n v="5100000"/>
    <n v="3700000000"/>
    <x v="1"/>
  </r>
  <r>
    <n v="12"/>
    <s v="natgeo"/>
    <n v="91"/>
    <n v="10000"/>
    <n v="237000000"/>
    <n v="237000000"/>
    <n v="6.9999999999999999E-6"/>
    <n v="159300"/>
    <n v="3000000000"/>
    <x v="1"/>
  </r>
  <r>
    <n v="13"/>
    <s v="nike"/>
    <n v="90"/>
    <n v="950"/>
    <n v="234100000"/>
    <n v="234100000"/>
    <n v="7.9999999999999996E-6"/>
    <n v="181800"/>
    <n v="313600000"/>
    <x v="1"/>
  </r>
  <r>
    <n v="14"/>
    <s v="taylorswift"/>
    <n v="91"/>
    <n v="530"/>
    <n v="222200000"/>
    <n v="222200000"/>
    <n v="1.01E-4"/>
    <n v="2300000"/>
    <n v="1300000000"/>
    <x v="1"/>
  </r>
  <r>
    <n v="15"/>
    <s v="jlo"/>
    <n v="89"/>
    <n v="3200"/>
    <n v="220400000"/>
    <n v="220400000"/>
    <n v="6.2000000000000003E-5"/>
    <n v="1400000"/>
    <n v="5300000000"/>
    <x v="1"/>
  </r>
  <r>
    <n v="16"/>
    <s v="virat.kohli"/>
    <n v="87"/>
    <n v="1400"/>
    <n v="211800000"/>
    <n v="211800000"/>
    <n v="9.6000000000000002E-5"/>
    <n v="2000000"/>
    <n v="4900000000"/>
    <x v="2"/>
  </r>
  <r>
    <n v="17"/>
    <s v="nickiminaj"/>
    <n v="90"/>
    <n v="6400"/>
    <n v="201600000"/>
    <n v="201600000"/>
    <n v="5.3000000000000001E-5"/>
    <n v="1000000"/>
    <n v="13500000000"/>
    <x v="1"/>
  </r>
  <r>
    <n v="18"/>
    <s v="kourtneykardash"/>
    <n v="89"/>
    <n v="4400"/>
    <n v="195200000"/>
    <n v="195200000"/>
    <n v="6.7000000000000002E-5"/>
    <n v="1300000"/>
    <n v="7700000000"/>
    <x v="1"/>
  </r>
  <r>
    <n v="19"/>
    <s v="mileycyrus"/>
    <n v="89"/>
    <n v="1200"/>
    <n v="181500000"/>
    <n v="181500000"/>
    <n v="5.1E-5"/>
    <n v="913600"/>
    <n v="1600000000"/>
    <x v="2"/>
  </r>
  <r>
    <n v="20"/>
    <s v="neymarjr"/>
    <n v="90"/>
    <n v="5300"/>
    <n v="177100000"/>
    <n v="177100000"/>
    <n v="1.0900000000000001E-4"/>
    <n v="1900000"/>
    <n v="14100000000"/>
    <x v="4"/>
  </r>
  <r>
    <n v="21"/>
    <s v="katyperry"/>
    <n v="92"/>
    <n v="2000"/>
    <n v="170300000"/>
    <n v="170300000"/>
    <n v="1.5999999999999999E-5"/>
    <n v="265100"/>
    <n v="1500000000"/>
    <x v="2"/>
  </r>
  <r>
    <n v="22"/>
    <s v="kevinhart4real"/>
    <n v="88"/>
    <n v="8200"/>
    <n v="152000000"/>
    <n v="152000000"/>
    <n v="7.9999999999999996E-6"/>
    <n v="115200"/>
    <n v="4300000000"/>
    <x v="1"/>
  </r>
  <r>
    <n v="23"/>
    <s v="zendaya"/>
    <n v="87"/>
    <n v="3500"/>
    <n v="150700000"/>
    <n v="150700000"/>
    <n v="3.1700000000000001E-4"/>
    <n v="4800000"/>
    <n v="20600000000"/>
    <x v="1"/>
  </r>
  <r>
    <n v="24"/>
    <s v="iamcardib"/>
    <n v="75"/>
    <n v="1600"/>
    <n v="140500000"/>
    <n v="140500000"/>
    <n v="1.1E-4"/>
    <n v="1500000"/>
    <n v="5000000000"/>
    <x v="1"/>
  </r>
  <r>
    <n v="25"/>
    <s v="ddlovato"/>
    <n v="88"/>
    <n v="80"/>
    <n v="139100000"/>
    <n v="139100000"/>
    <n v="2.6999999999999999E-5"/>
    <n v="363400"/>
    <n v="91300000"/>
    <x v="1"/>
  </r>
  <r>
    <n v="26"/>
    <s v="badgalriri"/>
    <n v="88"/>
    <n v="4800"/>
    <n v="135300000"/>
    <n v="135300000"/>
    <n v="1.9999999999999999E-6"/>
    <n v="0"/>
    <n v="17900000000"/>
    <x v="1"/>
  </r>
  <r>
    <n v="27"/>
    <s v="kingjames"/>
    <n v="86"/>
    <n v="2300"/>
    <n v="130900000"/>
    <n v="130900000"/>
    <n v="9.2E-5"/>
    <n v="1200000"/>
    <n v="4900000000"/>
    <x v="2"/>
  </r>
  <r>
    <n v="28"/>
    <s v="theellenshow"/>
    <n v="87"/>
    <n v="10000"/>
    <n v="125100000"/>
    <n v="125100000"/>
    <n v="6.9999999999999999E-6"/>
    <n v="81700"/>
    <n v="4200000000"/>
    <x v="1"/>
  </r>
  <r>
    <n v="29"/>
    <s v="realmadrid"/>
    <n v="90"/>
    <n v="6900"/>
    <n v="123400000"/>
    <n v="123400000"/>
    <n v="4.8000000000000001E-5"/>
    <n v="588300"/>
    <n v="6800000000"/>
    <x v="0"/>
  </r>
  <r>
    <n v="30"/>
    <s v="champagnepapi"/>
    <n v="85"/>
    <n v="5200"/>
    <n v="119600000"/>
    <n v="119600000"/>
    <n v="1.1E-4"/>
    <n v="1300000"/>
    <n v="9000000000"/>
    <x v="5"/>
  </r>
  <r>
    <n v="31"/>
    <s v="chrisbrownofficial"/>
    <n v="86"/>
    <n v="7300"/>
    <n v="118500000"/>
    <n v="118500000"/>
    <n v="2.1999999999999999E-5"/>
    <n v="255900"/>
    <n v="3400000000"/>
    <x v="1"/>
  </r>
  <r>
    <n v="32"/>
    <s v="fcbarcelona"/>
    <n v="90"/>
    <n v="10000"/>
    <n v="111400000"/>
    <n v="111400000"/>
    <n v="6.3999999999999997E-5"/>
    <n v="706300"/>
    <n v="11600000000"/>
    <x v="2"/>
  </r>
  <r>
    <n v="33"/>
    <s v="billieeilish"/>
    <n v="73"/>
    <n v="690"/>
    <n v="105200000"/>
    <n v="105200000"/>
    <n v="5.0199999999999995E-4"/>
    <n v="5200000"/>
    <n v="5900000000"/>
    <x v="2"/>
  </r>
  <r>
    <n v="34"/>
    <s v="dualipa"/>
    <n v="74"/>
    <n v="1300"/>
    <n v="85900000"/>
    <n v="85900000"/>
    <n v="1.26E-4"/>
    <n v="1100000"/>
    <n v="2600000000"/>
    <x v="6"/>
  </r>
  <r>
    <n v="35"/>
    <s v="gal_gadot"/>
    <n v="85"/>
    <n v="1700"/>
    <n v="85600000"/>
    <n v="85600000"/>
    <n v="6.8999999999999997E-5"/>
    <n v="586500"/>
    <n v="2300000000"/>
    <x v="1"/>
  </r>
  <r>
    <n v="36"/>
    <s v="vindiesel"/>
    <n v="88"/>
    <n v="1800"/>
    <n v="82300000"/>
    <n v="82300000"/>
    <n v="6.0000000000000002E-5"/>
    <n v="482300"/>
    <n v="2500000000"/>
    <x v="1"/>
  </r>
  <r>
    <n v="37"/>
    <s v="nasa"/>
    <n v="88"/>
    <n v="3600"/>
    <n v="81300000"/>
    <n v="81300000"/>
    <n v="1.5300000000000001E-4"/>
    <n v="1200000"/>
    <n v="4200000000"/>
    <x v="1"/>
  </r>
  <r>
    <n v="38"/>
    <s v="priyankachopra"/>
    <n v="85"/>
    <n v="3600"/>
    <n v="81100000"/>
    <n v="81100000"/>
    <n v="1E-4"/>
    <n v="802900"/>
    <n v="5600000000"/>
    <x v="1"/>
  </r>
  <r>
    <n v="39"/>
    <s v="lalalalisa_m"/>
    <n v="70"/>
    <n v="870"/>
    <n v="80900000"/>
    <n v="80900000"/>
    <n v="8.9999999999999998E-4"/>
    <n v="7200000"/>
    <n v="5100000000"/>
    <x v="2"/>
  </r>
  <r>
    <n v="40"/>
    <s v="Shakira"/>
    <n v="88"/>
    <n v="2000"/>
    <n v="76100000"/>
    <n v="76100000"/>
    <n v="4.1E-5"/>
    <n v="304700"/>
    <n v="1900000000"/>
    <x v="2"/>
  </r>
  <r>
    <n v="41"/>
    <s v="snoopdogg"/>
    <n v="86"/>
    <n v="10000"/>
    <n v="75300000"/>
    <n v="75300000"/>
    <n v="1.7E-5"/>
    <n v="125800"/>
    <n v="2000000000"/>
    <x v="2"/>
  </r>
  <r>
    <n v="42"/>
    <s v="gigihadid"/>
    <n v="85"/>
    <n v="3300"/>
    <n v="75300000"/>
    <n v="75300000"/>
    <n v="2.5599999999999999E-4"/>
    <n v="1900000"/>
    <n v="8200000000"/>
    <x v="1"/>
  </r>
  <r>
    <n v="43"/>
    <s v="davidbeckham"/>
    <n v="86"/>
    <n v="1500"/>
    <n v="74900000"/>
    <n v="74900000"/>
    <n v="4.6E-5"/>
    <n v="340900"/>
    <n v="1900000000"/>
    <x v="1"/>
  </r>
  <r>
    <n v="44"/>
    <s v="shraddhakapoor"/>
    <n v="81"/>
    <n v="1900"/>
    <n v="73900000"/>
    <n v="73900000"/>
    <n v="1.17E-4"/>
    <n v="859900"/>
    <n v="3000000000"/>
    <x v="2"/>
  </r>
  <r>
    <n v="45"/>
    <s v="victoriassecret"/>
    <n v="88"/>
    <n v="2900"/>
    <n v="73200000"/>
    <n v="73200000"/>
    <n v="3.9999999999999998E-6"/>
    <n v="29800"/>
    <n v="423500000"/>
    <x v="1"/>
  </r>
  <r>
    <n v="46"/>
    <s v="k.mbappe"/>
    <n v="86"/>
    <n v="1200"/>
    <n v="72700000"/>
    <n v="72700000"/>
    <n v="2.1599999999999999E-4"/>
    <n v="1600000"/>
    <n v="2800000000"/>
    <x v="2"/>
  </r>
  <r>
    <n v="47"/>
    <s v="nehakakkar"/>
    <n v="84"/>
    <n v="2300"/>
    <n v="70400000"/>
    <n v="70400000"/>
    <n v="5.3999999999999998E-5"/>
    <n v="370100"/>
    <n v="3500000000"/>
    <x v="7"/>
  </r>
  <r>
    <n v="48"/>
    <s v="nba"/>
    <n v="87"/>
    <n v="12900"/>
    <n v="70100000"/>
    <n v="70100000"/>
    <n v="2.8E-5"/>
    <n v="196900"/>
    <n v="4800000000"/>
    <x v="1"/>
  </r>
  <r>
    <n v="49"/>
    <s v="shawnmendes"/>
    <n v="83"/>
    <n v="2500"/>
    <n v="69900000"/>
    <n v="69900000"/>
    <n v="2.8699999999999998E-4"/>
    <n v="2000000"/>
    <n v="8800000000"/>
    <x v="3"/>
  </r>
  <r>
    <n v="50"/>
    <s v="jennierubyjane"/>
    <n v="76"/>
    <n v="860"/>
    <n v="68900000"/>
    <n v="68900000"/>
    <n v="8.3600000000000005E-4"/>
    <n v="5700000"/>
    <n v="4400000000"/>
    <x v="2"/>
  </r>
  <r>
    <n v="51"/>
    <s v="narendramodi"/>
    <n v="85"/>
    <n v="540"/>
    <n v="68900000"/>
    <n v="68900000"/>
    <n v="3.01E-4"/>
    <n v="2000000"/>
    <n v="1600000000"/>
    <x v="7"/>
  </r>
  <r>
    <n v="52"/>
    <s v="aliaabhatt"/>
    <n v="82"/>
    <n v="1800"/>
    <n v="68700000"/>
    <n v="68700000"/>
    <n v="3.1399999999999999E-4"/>
    <n v="2100000"/>
    <n v="3300000000"/>
    <x v="7"/>
  </r>
  <r>
    <n v="53"/>
    <s v="deepikapadukone"/>
    <n v="83"/>
    <n v="260"/>
    <n v="68400000"/>
    <n v="68400000"/>
    <n v="2.23E-4"/>
    <n v="1500000"/>
    <n v="419000000"/>
    <x v="7"/>
  </r>
  <r>
    <n v="54"/>
    <s v="tomholland2013"/>
    <n v="77"/>
    <n v="1200"/>
    <n v="67700000"/>
    <n v="67700000"/>
    <n v="1.083E-3"/>
    <n v="7300000"/>
    <n v="6600000000"/>
    <x v="2"/>
  </r>
  <r>
    <n v="55"/>
    <s v="ronaldinho"/>
    <n v="78"/>
    <n v="2900"/>
    <n v="67700000"/>
    <n v="67700000"/>
    <n v="4.8999999999999998E-5"/>
    <n v="325700"/>
    <n v="2600000000"/>
    <x v="4"/>
  </r>
  <r>
    <n v="56"/>
    <s v="emmawatson"/>
    <n v="87"/>
    <n v="340"/>
    <n v="67300000"/>
    <n v="67300000"/>
    <n v="9.9999999999999995E-7"/>
    <n v="0"/>
    <n v="639000000"/>
    <x v="1"/>
  </r>
  <r>
    <n v="57"/>
    <s v="bts.bighitofficial"/>
    <n v="78"/>
    <n v="1200"/>
    <n v="66900000"/>
    <n v="66900000"/>
    <n v="5.4000000000000001E-4"/>
    <n v="3600000"/>
    <n v="4900000000"/>
    <x v="8"/>
  </r>
  <r>
    <n v="58"/>
    <s v="katrinakaif"/>
    <n v="85"/>
    <n v="1000"/>
    <n v="66300000"/>
    <n v="66300000"/>
    <n v="2.2499999999999999E-4"/>
    <n v="1500000"/>
    <n v="1700000000"/>
    <x v="7"/>
  </r>
  <r>
    <n v="59"/>
    <s v="marvel"/>
    <n v="82"/>
    <n v="7000"/>
    <n v="66200000"/>
    <n v="66200000"/>
    <n v="5.1E-5"/>
    <n v="339000"/>
    <n v="2300000000"/>
    <x v="9"/>
  </r>
  <r>
    <n v="60"/>
    <s v="justintimberlake"/>
    <n v="87"/>
    <n v="780"/>
    <n v="65900000"/>
    <n v="65900000"/>
    <n v="3.0000000000000001E-5"/>
    <n v="189400"/>
    <n v="470700000"/>
    <x v="1"/>
  </r>
  <r>
    <n v="61"/>
    <s v="camila_cabello"/>
    <n v="77"/>
    <n v="2900"/>
    <n v="65000000"/>
    <n v="65000000"/>
    <n v="2.1900000000000001E-4"/>
    <n v="1400000"/>
    <n v="5400000000"/>
    <x v="1"/>
  </r>
  <r>
    <n v="62"/>
    <s v="willsmith"/>
    <n v="82"/>
    <n v="1400"/>
    <n v="63900000"/>
    <n v="63900000"/>
    <n v="1.9999999999999999E-6"/>
    <n v="0"/>
    <n v="1900000000"/>
    <x v="1"/>
  </r>
  <r>
    <n v="63"/>
    <s v="raffinagita1717"/>
    <n v="83"/>
    <n v="17500"/>
    <n v="63500000"/>
    <n v="63500000"/>
    <n v="5.8E-5"/>
    <n v="366600"/>
    <n v="6800000000"/>
    <x v="10"/>
  </r>
  <r>
    <n v="64"/>
    <s v="anitta"/>
    <n v="82"/>
    <n v="5100"/>
    <n v="63100000"/>
    <n v="63100000"/>
    <n v="6.8999999999999997E-5"/>
    <n v="426200"/>
    <n v="4400000000"/>
    <x v="1"/>
  </r>
  <r>
    <n v="65"/>
    <s v="sooyaaa__"/>
    <n v="82"/>
    <n v="830"/>
    <n v="62900000"/>
    <n v="62900000"/>
    <n v="9.4300000000000004E-4"/>
    <n v="5900000"/>
    <n v="3800000000"/>
    <x v="2"/>
  </r>
  <r>
    <n v="66"/>
    <s v="maluma"/>
    <n v="84"/>
    <n v="8200"/>
    <n v="62800000"/>
    <n v="62800000"/>
    <n v="1.12E-4"/>
    <n v="696300"/>
    <n v="9800000000"/>
    <x v="11"/>
  </r>
  <r>
    <n v="67"/>
    <s v="akshaykumar"/>
    <n v="85"/>
    <n v="1900"/>
    <n v="62800000"/>
    <n v="62800000"/>
    <n v="1.01E-4"/>
    <n v="624900"/>
    <n v="2900000000"/>
    <x v="2"/>
  </r>
  <r>
    <n v="68"/>
    <s v="jacquelinef143"/>
    <n v="85"/>
    <n v="2400"/>
    <n v="62700000"/>
    <n v="62700000"/>
    <n v="1.15E-4"/>
    <n v="718800"/>
    <n v="2800000000"/>
    <x v="7"/>
  </r>
  <r>
    <n v="69"/>
    <s v="psg"/>
    <n v="86"/>
    <n v="10000"/>
    <n v="61900000"/>
    <n v="61900000"/>
    <n v="5.1999999999999997E-5"/>
    <n v="322200"/>
    <n v="5000000000"/>
    <x v="12"/>
  </r>
  <r>
    <n v="70"/>
    <s v="roses_are_rosie"/>
    <n v="82"/>
    <n v="820"/>
    <n v="61800000"/>
    <n v="61800000"/>
    <n v="9.7199999999999999E-4"/>
    <n v="6000000"/>
    <n v="3800000000"/>
    <x v="2"/>
  </r>
  <r>
    <n v="71"/>
    <s v="manchesterunited"/>
    <n v="85"/>
    <n v="9900"/>
    <n v="59600000"/>
    <n v="59600000"/>
    <n v="4.1E-5"/>
    <n v="241600"/>
    <n v="3800000000"/>
    <x v="6"/>
  </r>
  <r>
    <n v="72"/>
    <s v="anushkasharma"/>
    <n v="85"/>
    <n v="1200"/>
    <n v="59500000"/>
    <n v="59500000"/>
    <n v="2.34E-4"/>
    <n v="1400000"/>
    <n v="2200000000"/>
    <x v="2"/>
  </r>
  <r>
    <n v="73"/>
    <s v="whinderssonnunes"/>
    <n v="79"/>
    <n v="2700"/>
    <n v="58700000"/>
    <n v="58700000"/>
    <n v="5.8E-5"/>
    <n v="323100"/>
    <n v="4400000000"/>
    <x v="4"/>
  </r>
  <r>
    <n v="74"/>
    <s v="9gag"/>
    <n v="86"/>
    <n v="10000"/>
    <n v="58100000"/>
    <n v="58100000"/>
    <n v="4.3999999999999999E-5"/>
    <n v="248600"/>
    <n v="6700000000"/>
    <x v="1"/>
  </r>
  <r>
    <n v="75"/>
    <s v="marcelotwelve"/>
    <n v="86"/>
    <n v="2700"/>
    <n v="58100000"/>
    <n v="58100000"/>
    <n v="7.7999999999999999E-5"/>
    <n v="448300"/>
    <n v="1900000000"/>
    <x v="4"/>
  </r>
  <r>
    <n v="76"/>
    <s v="milliebobbybrown"/>
    <n v="80"/>
    <n v="280"/>
    <n v="57600000"/>
    <n v="57600000"/>
    <n v="8.6300000000000005E-4"/>
    <n v="5000000"/>
    <n v="1100000000"/>
    <x v="1"/>
  </r>
  <r>
    <n v="77"/>
    <s v="karimbenzema"/>
    <n v="42"/>
    <n v="2000"/>
    <n v="56900000"/>
    <n v="56900000"/>
    <n v="1.6200000000000001E-4"/>
    <n v="918900"/>
    <n v="1800000000"/>
    <x v="0"/>
  </r>
  <r>
    <n v="78"/>
    <s v="chrishemsworth"/>
    <n v="86"/>
    <n v="880"/>
    <n v="55900000"/>
    <n v="55900000"/>
    <n v="3.6900000000000002E-4"/>
    <n v="2100000"/>
    <n v="2500000000"/>
    <x v="13"/>
  </r>
  <r>
    <n v="79"/>
    <s v="karolg"/>
    <n v="83"/>
    <n v="3300"/>
    <n v="55600000"/>
    <n v="55600000"/>
    <n v="1.0250000000000001E-3"/>
    <n v="5700000"/>
    <n v="10100000000"/>
    <x v="7"/>
  </r>
  <r>
    <n v="80"/>
    <s v="paulpogba"/>
    <n v="80"/>
    <n v="1300"/>
    <n v="55200000"/>
    <n v="55200000"/>
    <n v="8.5000000000000006E-5"/>
    <n v="462600"/>
    <n v="1800000000"/>
    <x v="12"/>
  </r>
  <r>
    <n v="81"/>
    <s v="iamzlatanibrahimovic"/>
    <n v="86"/>
    <n v="870"/>
    <n v="55100000"/>
    <n v="55100000"/>
    <n v="1.5300000000000001E-4"/>
    <n v="837100"/>
    <n v="1300000000"/>
    <x v="2"/>
  </r>
  <r>
    <n v="82"/>
    <s v="leonardodicaprio"/>
    <n v="86"/>
    <n v="1700"/>
    <n v="54600000"/>
    <n v="54600000"/>
    <n v="2.0000000000000002E-5"/>
    <n v="107600"/>
    <n v="669300000"/>
    <x v="2"/>
  </r>
  <r>
    <n v="83"/>
    <s v="juventus"/>
    <n v="87"/>
    <n v="10000"/>
    <n v="54500000"/>
    <n v="54500000"/>
    <n v="2.5000000000000001E-5"/>
    <n v="135500"/>
    <n v="1900000000"/>
    <x v="2"/>
  </r>
  <r>
    <n v="84"/>
    <s v="zacefron"/>
    <n v="86"/>
    <n v="660"/>
    <n v="54500000"/>
    <n v="54500000"/>
    <n v="8.1800000000000004E-4"/>
    <n v="4400000"/>
    <n v="1500000000"/>
    <x v="1"/>
  </r>
  <r>
    <n v="85"/>
    <s v="bellahadid"/>
    <n v="79"/>
    <n v="3200"/>
    <n v="54100000"/>
    <n v="54100000"/>
    <n v="2.0599999999999999E-4"/>
    <n v="1100000"/>
    <n v="3600000000"/>
    <x v="6"/>
  </r>
  <r>
    <n v="86"/>
    <s v="tatawerneck"/>
    <n v="86"/>
    <n v="5600"/>
    <n v="53900000"/>
    <n v="53900000"/>
    <n v="5.1E-5"/>
    <n v="266500"/>
    <n v="5400000000"/>
    <x v="4"/>
  </r>
  <r>
    <n v="87"/>
    <s v="beingsalmankhan"/>
    <n v="76"/>
    <n v="1200"/>
    <n v="53500000"/>
    <n v="53500000"/>
    <n v="1.3300000000000001E-4"/>
    <n v="693900"/>
    <n v="1600000000"/>
    <x v="7"/>
  </r>
  <r>
    <n v="88"/>
    <s v="robertdowneyjr"/>
    <n v="86"/>
    <n v="420"/>
    <n v="53400000"/>
    <n v="53400000"/>
    <n v="2.05E-4"/>
    <n v="1100000"/>
    <n v="1300000000"/>
    <x v="1"/>
  </r>
  <r>
    <n v="89"/>
    <s v="sunnyleone"/>
    <n v="84"/>
    <n v="4600"/>
    <n v="53400000"/>
    <n v="53400000"/>
    <n v="5.7000000000000003E-5"/>
    <n v="301300"/>
    <n v="3500000000"/>
    <x v="2"/>
  </r>
  <r>
    <n v="90"/>
    <s v="ladygaga"/>
    <n v="83"/>
    <n v="3600"/>
    <n v="53200000"/>
    <n v="53200000"/>
    <n v="1.02E-4"/>
    <n v="531600"/>
    <n v="5100000000"/>
    <x v="1"/>
  </r>
  <r>
    <n v="91"/>
    <s v="dishapatani"/>
    <n v="74"/>
    <n v="2100"/>
    <n v="53000000"/>
    <n v="53000000"/>
    <n v="1.85E-4"/>
    <n v="971700"/>
    <n v="3400000000"/>
    <x v="1"/>
  </r>
  <r>
    <n v="92"/>
    <s v="sergioramos"/>
    <n v="87"/>
    <n v="2200"/>
    <n v="52800000"/>
    <n v="52800000"/>
    <n v="1.06E-4"/>
    <n v="557900"/>
    <n v="2500000000"/>
    <x v="2"/>
  </r>
  <r>
    <n v="93"/>
    <s v="jbalvin"/>
    <n v="87"/>
    <n v="10000"/>
    <n v="52800000"/>
    <n v="52800000"/>
    <n v="6.6000000000000005E-5"/>
    <n v="340500"/>
    <n v="8800000000"/>
    <x v="2"/>
  </r>
  <r>
    <n v="94"/>
    <s v="mosalah"/>
    <n v="22"/>
    <n v="840"/>
    <n v="52500000"/>
    <n v="52500000"/>
    <n v="2.1800000000000001E-4"/>
    <n v="1100000"/>
    <n v="1500000000"/>
    <x v="2"/>
  </r>
  <r>
    <n v="95"/>
    <s v="ayutingting92"/>
    <n v="85"/>
    <n v="10000"/>
    <n v="52400000"/>
    <n v="52400000"/>
    <n v="1.1E-5"/>
    <n v="56300"/>
    <n v="1500000000"/>
    <x v="10"/>
  </r>
  <r>
    <n v="96"/>
    <n v="433"/>
    <n v="79"/>
    <n v="10300"/>
    <n v="51200000"/>
    <n v="51200000"/>
    <n v="1.5200000000000001E-4"/>
    <n v="774200"/>
    <n v="8900000000"/>
    <x v="5"/>
  </r>
  <r>
    <n v="97"/>
    <s v="hudabeauty"/>
    <n v="82"/>
    <n v="2400"/>
    <n v="50800000"/>
    <n v="50800000"/>
    <n v="3.9999999999999998E-6"/>
    <n v="16800"/>
    <n v="453600000"/>
    <x v="1"/>
  </r>
  <r>
    <n v="98"/>
    <s v="adele"/>
    <n v="84"/>
    <n v="420"/>
    <n v="50700000"/>
    <n v="50700000"/>
    <n v="3.8200000000000002E-4"/>
    <n v="1900000"/>
    <n v="2000000000"/>
    <x v="1"/>
  </r>
  <r>
    <n v="99"/>
    <s v="michelleobama"/>
    <n v="85"/>
    <n v="600"/>
    <n v="50700000"/>
    <n v="50700000"/>
    <n v="1.22E-4"/>
    <n v="611200"/>
    <n v="421700000"/>
    <x v="2"/>
  </r>
  <r>
    <n v="100"/>
    <s v="kritisanon"/>
    <n v="76"/>
    <n v="2700"/>
    <n v="50200000"/>
    <n v="50200000"/>
    <n v="1.21E-4"/>
    <n v="604400"/>
    <n v="2400000000"/>
    <x v="7"/>
  </r>
  <r>
    <n v="101"/>
    <s v="jamesrodriguez10"/>
    <n v="86"/>
    <n v="1100"/>
    <n v="49900000"/>
    <n v="49900000"/>
    <n v="7.4999999999999993E-5"/>
    <n v="363900"/>
    <n v="1500000000"/>
    <x v="11"/>
  </r>
  <r>
    <n v="102"/>
    <s v="krisjenner"/>
    <n v="80"/>
    <n v="6400"/>
    <n v="49700000"/>
    <n v="49700000"/>
    <n v="9.1000000000000003E-5"/>
    <n v="452900"/>
    <n v="2300000000"/>
    <x v="1"/>
  </r>
  <r>
    <n v="103"/>
    <s v="thv"/>
    <n v="83"/>
    <n v="60"/>
    <n v="49300000"/>
    <n v="49300000"/>
    <n v="2.5799999999999998E-3"/>
    <n v="12600000"/>
    <n v="987400000"/>
    <x v="2"/>
  </r>
  <r>
    <n v="104"/>
    <s v="lelepons"/>
    <n v="81"/>
    <n v="2500"/>
    <n v="49200000"/>
    <n v="49200000"/>
    <n v="3.5500000000000001E-4"/>
    <n v="1700000"/>
    <n v="6100000000"/>
    <x v="1"/>
  </r>
  <r>
    <n v="105"/>
    <s v="charlidamelio"/>
    <n v="80"/>
    <n v="150"/>
    <n v="49100000"/>
    <n v="49100000"/>
    <n v="3.28E-4"/>
    <n v="1600000"/>
    <n v="654400000"/>
    <x v="2"/>
  </r>
  <r>
    <n v="106"/>
    <s v="gucci"/>
    <n v="86"/>
    <n v="8900"/>
    <n v="49000000"/>
    <n v="49000000"/>
    <n v="1.5E-5"/>
    <n v="72400"/>
    <n v="1000000000"/>
    <x v="14"/>
  </r>
  <r>
    <n v="107"/>
    <s v="prillylatuconsina96"/>
    <n v="84"/>
    <n v="6500"/>
    <n v="48900000"/>
    <n v="48900000"/>
    <n v="2.6999999999999999E-5"/>
    <n v="131800"/>
    <n v="2400000000"/>
    <x v="10"/>
  </r>
  <r>
    <n v="108"/>
    <s v="louisvuitton"/>
    <n v="82"/>
    <n v="6500"/>
    <n v="48700000"/>
    <n v="48700000"/>
    <n v="7.9999999999999996E-6"/>
    <n v="40500"/>
    <n v="824000000"/>
    <x v="12"/>
  </r>
  <r>
    <n v="109"/>
    <s v="paulodybala"/>
    <n v="85"/>
    <n v="1300"/>
    <n v="48300000"/>
    <n v="48300000"/>
    <n v="2.8800000000000001E-4"/>
    <n v="1400000"/>
    <n v="2300000000"/>
    <x v="2"/>
  </r>
  <r>
    <n v="110"/>
    <s v="blackpinkofficial"/>
    <n v="85"/>
    <n v="1400"/>
    <n v="48200000"/>
    <n v="48200000"/>
    <n v="2.7700000000000001E-4"/>
    <n v="1300000"/>
    <n v="3000000000"/>
    <x v="2"/>
  </r>
  <r>
    <n v="111"/>
    <s v="dovecameron"/>
    <n v="85"/>
    <n v="170"/>
    <n v="48200000"/>
    <n v="48200000"/>
    <n v="1.75E-4"/>
    <n v="841400"/>
    <n v="283000000"/>
    <x v="1"/>
  </r>
  <r>
    <n v="112"/>
    <s v="garethbale11"/>
    <n v="86"/>
    <n v="980"/>
    <n v="48100000"/>
    <n v="48100000"/>
    <n v="1.4300000000000001E-4"/>
    <n v="681300"/>
    <n v="753100000"/>
    <x v="2"/>
  </r>
  <r>
    <n v="113"/>
    <s v="jokowi"/>
    <n v="85"/>
    <n v="3500"/>
    <n v="47700000"/>
    <n v="47700000"/>
    <n v="4.1E-5"/>
    <n v="189600"/>
    <n v="1600000000"/>
    <x v="2"/>
  </r>
  <r>
    <n v="114"/>
    <s v="nusr_et"/>
    <n v="81"/>
    <n v="2300"/>
    <n v="47300000"/>
    <n v="47300000"/>
    <n v="2.9E-5"/>
    <n v="133000"/>
    <n v="1700000000"/>
    <x v="15"/>
  </r>
  <r>
    <n v="115"/>
    <s v="harrystyles"/>
    <n v="57"/>
    <n v="590"/>
    <n v="46900000"/>
    <n v="46900000"/>
    <n v="6.38E-4"/>
    <n v="2900000"/>
    <n v="2800000000"/>
    <x v="1"/>
  </r>
  <r>
    <n v="116"/>
    <s v="haileybieber"/>
    <n v="85"/>
    <n v="2100"/>
    <n v="46900000"/>
    <n v="46900000"/>
    <n v="3.4699999999999998E-4"/>
    <n v="1600000"/>
    <n v="4200000000"/>
    <x v="2"/>
  </r>
  <r>
    <n v="117"/>
    <s v="vanessahudgens"/>
    <n v="84"/>
    <n v="4200"/>
    <n v="46800000"/>
    <n v="46800000"/>
    <n v="6.3E-5"/>
    <n v="292900"/>
    <n v="2700000000"/>
    <x v="1"/>
  </r>
  <r>
    <n v="118"/>
    <s v="5-Minute Crafts GIRLY"/>
    <n v="85"/>
    <n v="10000"/>
    <n v="46500000"/>
    <n v="46500000"/>
    <n v="3.0000000000000001E-6"/>
    <n v="12400"/>
    <n v="1600000000"/>
    <x v="1"/>
  </r>
  <r>
    <n v="119"/>
    <s v="zayn"/>
    <n v="82"/>
    <n v="160"/>
    <n v="46500000"/>
    <n v="46500000"/>
    <n v="8.8099999999999995E-4"/>
    <n v="4000000"/>
    <n v="773500000"/>
    <x v="1"/>
  </r>
  <r>
    <n v="120"/>
    <s v="larissamanoela"/>
    <n v="85"/>
    <n v="5200"/>
    <n v="46500000"/>
    <n v="46500000"/>
    <n v="5.7000000000000003E-5"/>
    <n v="259400"/>
    <n v="3000000000"/>
    <x v="4"/>
  </r>
  <r>
    <n v="121"/>
    <s v="travisscott"/>
    <n v="78"/>
    <n v="3200"/>
    <n v="46200000"/>
    <n v="46200000"/>
    <n v="5.71E-4"/>
    <n v="2600000"/>
    <n v="9600000000"/>
    <x v="1"/>
  </r>
  <r>
    <n v="122"/>
    <s v="thenotoriousmma"/>
    <n v="82"/>
    <n v="3200"/>
    <n v="45900000"/>
    <n v="45900000"/>
    <n v="6.8999999999999997E-5"/>
    <n v="311500"/>
    <n v="3500000000"/>
    <x v="1"/>
  </r>
  <r>
    <n v="123"/>
    <s v="daddyyankee"/>
    <n v="80"/>
    <n v="20"/>
    <n v="45900000"/>
    <n v="45900000"/>
    <n v="1E-4"/>
    <n v="455300"/>
    <n v="18300000"/>
    <x v="16"/>
  </r>
  <r>
    <n v="124"/>
    <s v="natgeotravel"/>
    <n v="82"/>
    <n v="16900"/>
    <n v="45800000"/>
    <n v="45800000"/>
    <n v="1.2E-5"/>
    <n v="52800"/>
    <n v="3200000000"/>
    <x v="1"/>
  </r>
  <r>
    <n v="125"/>
    <s v="nikefootball"/>
    <n v="85"/>
    <n v="1800"/>
    <n v="45400000"/>
    <n v="45400000"/>
    <n v="4.3999999999999999E-5"/>
    <n v="199800"/>
    <n v="784000000"/>
    <x v="1"/>
  </r>
  <r>
    <n v="126"/>
    <s v="stephencurry30"/>
    <n v="84"/>
    <n v="1100"/>
    <n v="45400000"/>
    <n v="45400000"/>
    <n v="2.7599999999999999E-4"/>
    <n v="1200000"/>
    <n v="1200000000"/>
    <x v="2"/>
  </r>
  <r>
    <n v="127"/>
    <s v="vancityreynolds"/>
    <n v="86"/>
    <n v="680"/>
    <n v="44800000"/>
    <n v="44800000"/>
    <n v="2.61E-4"/>
    <n v="1200000"/>
    <n v="925700000"/>
    <x v="2"/>
  </r>
  <r>
    <n v="128"/>
    <s v="maisa"/>
    <n v="42"/>
    <n v="1500"/>
    <n v="44500000"/>
    <n v="44500000"/>
    <n v="6.7000000000000002E-5"/>
    <n v="294100"/>
    <n v="820100000"/>
    <x v="4"/>
  </r>
  <r>
    <n v="129"/>
    <s v="luissuarez9"/>
    <n v="85"/>
    <n v="970"/>
    <n v="44200000"/>
    <n v="44200000"/>
    <n v="9.6000000000000002E-5"/>
    <n v="414800"/>
    <n v="782500000"/>
    <x v="2"/>
  </r>
  <r>
    <n v="130"/>
    <s v="gusttavolima"/>
    <n v="76"/>
    <n v="4900"/>
    <n v="43900000"/>
    <n v="43900000"/>
    <n v="7.1000000000000005E-5"/>
    <n v="303900"/>
    <n v="2300000000"/>
    <x v="4"/>
  </r>
  <r>
    <n v="131"/>
    <s v="jannatzubair29"/>
    <n v="84"/>
    <n v="1600"/>
    <n v="43800000"/>
    <n v="43800000"/>
    <n v="2.1800000000000001E-4"/>
    <n v="944300"/>
    <n v="2200000000"/>
    <x v="2"/>
  </r>
  <r>
    <n v="132"/>
    <s v="varundvn"/>
    <n v="84"/>
    <n v="1900"/>
    <n v="43800000"/>
    <n v="43800000"/>
    <n v="1.4799999999999999E-4"/>
    <n v="640500"/>
    <n v="2000000000"/>
    <x v="7"/>
  </r>
  <r>
    <n v="133"/>
    <s v="hrithikroshan"/>
    <n v="85"/>
    <n v="580"/>
    <n v="43700000"/>
    <n v="43700000"/>
    <n v="3.8200000000000002E-4"/>
    <n v="1600000"/>
    <n v="949900000"/>
    <x v="17"/>
  </r>
  <r>
    <n v="134"/>
    <s v="nickyjampr"/>
    <n v="81"/>
    <n v="10000"/>
    <n v="43400000"/>
    <n v="43400000"/>
    <n v="3.3000000000000003E-5"/>
    <n v="139300"/>
    <n v="3800000000"/>
    <x v="11"/>
  </r>
  <r>
    <n v="135"/>
    <s v="buzzfeedtasty"/>
    <n v="85"/>
    <n v="8900"/>
    <n v="43200000"/>
    <n v="43200000"/>
    <n v="1.9999999999999999E-6"/>
    <n v="7700"/>
    <n v="580700000"/>
    <x v="0"/>
  </r>
  <r>
    <n v="136"/>
    <s v="brunamarquezine"/>
    <n v="84"/>
    <n v="3000"/>
    <n v="43100000"/>
    <n v="43100000"/>
    <n v="1.05E-4"/>
    <n v="444200"/>
    <n v="2900000000"/>
    <x v="1"/>
  </r>
  <r>
    <n v="137"/>
    <s v="caradelevingne"/>
    <n v="86"/>
    <n v="4400"/>
    <n v="42900000"/>
    <n v="42900000"/>
    <n v="4.3000000000000002E-5"/>
    <n v="181000"/>
    <n v="3500000000"/>
    <x v="1"/>
  </r>
  <r>
    <n v="138"/>
    <s v="kapilsharma"/>
    <n v="83"/>
    <n v="950"/>
    <n v="42200000"/>
    <n v="42200000"/>
    <n v="1.4899999999999999E-4"/>
    <n v="624500"/>
    <n v="710700000"/>
    <x v="2"/>
  </r>
  <r>
    <n v="139"/>
    <s v="badbunnypr"/>
    <n v="83"/>
    <n v="10"/>
    <n v="42100000"/>
    <n v="42100000"/>
    <n v="1.3090000000000001E-3"/>
    <n v="5400000"/>
    <n v="67500000"/>
    <x v="2"/>
  </r>
  <r>
    <n v="140"/>
    <s v="britneyspears"/>
    <n v="80"/>
    <n v="3000"/>
    <n v="42100000"/>
    <n v="42100000"/>
    <n v="5.5000000000000002E-5"/>
    <n v="221700"/>
    <n v="1600000000"/>
    <x v="9"/>
  </r>
  <r>
    <n v="141"/>
    <s v="j.m"/>
    <n v="83"/>
    <n v="20"/>
    <n v="41900000"/>
    <n v="41900000"/>
    <n v="2.6410000000000001E-3"/>
    <n v="11000000"/>
    <n v="368100000"/>
    <x v="2"/>
  </r>
  <r>
    <n v="142"/>
    <s v="mariliamendoncacantora"/>
    <n v="73"/>
    <n v="1400"/>
    <n v="41800000"/>
    <n v="41800000"/>
    <n v="1.9799999999999999E-4"/>
    <n v="818600"/>
    <n v="1500000000"/>
    <x v="4"/>
  </r>
  <r>
    <n v="143"/>
    <s v="norafatehi"/>
    <n v="83"/>
    <n v="1700"/>
    <n v="41600000"/>
    <n v="41600000"/>
    <n v="1.76E-4"/>
    <n v="727500"/>
    <n v="2300000000"/>
    <x v="18"/>
  </r>
  <r>
    <n v="144"/>
    <s v="theweeknd"/>
    <n v="83"/>
    <n v="670"/>
    <n v="41500000"/>
    <n v="41500000"/>
    <n v="3.97E-4"/>
    <n v="1600000"/>
    <n v="767000000"/>
    <x v="2"/>
  </r>
  <r>
    <n v="145"/>
    <s v="dior"/>
    <n v="85"/>
    <n v="9700"/>
    <n v="41500000"/>
    <n v="41500000"/>
    <n v="1.5999999999999999E-5"/>
    <n v="63600"/>
    <n v="863000000"/>
    <x v="2"/>
  </r>
  <r>
    <n v="146"/>
    <s v="ranveersingh"/>
    <n v="85"/>
    <n v="1800"/>
    <n v="40800000"/>
    <n v="40800000"/>
    <n v="7.6000000000000004E-5"/>
    <n v="299300"/>
    <n v="1800000000"/>
    <x v="19"/>
  </r>
  <r>
    <n v="147"/>
    <s v="marinaruybarbosa"/>
    <n v="81"/>
    <n v="2100"/>
    <n v="40700000"/>
    <n v="40700000"/>
    <n v="9.9999999999999995E-7"/>
    <n v="0"/>
    <n v="1200000000"/>
    <x v="4"/>
  </r>
  <r>
    <n v="148"/>
    <s v="jenniferaniston"/>
    <n v="85"/>
    <n v="90"/>
    <n v="40700000"/>
    <n v="40700000"/>
    <n v="1.8799999999999999E-4"/>
    <n v="731000"/>
    <n v="452000000"/>
    <x v="2"/>
  </r>
  <r>
    <n v="149"/>
    <s v="addisonraee"/>
    <n v="85"/>
    <n v="300"/>
    <n v="40100000"/>
    <n v="40100000"/>
    <n v="2.4899999999999998E-4"/>
    <n v="994400"/>
    <n v="957900000"/>
    <x v="2"/>
  </r>
  <r>
    <n v="150"/>
    <s v="andresiniesta8"/>
    <n v="85"/>
    <n v="2000"/>
    <n v="40000000"/>
    <n v="40000000"/>
    <n v="4.1E-5"/>
    <n v="161700"/>
    <n v="500500000"/>
    <x v="0"/>
  </r>
  <r>
    <n v="151"/>
    <s v="princessyahrini"/>
    <n v="81"/>
    <n v="4500"/>
    <n v="40000000"/>
    <n v="40000000"/>
    <n v="2.1999999999999999E-5"/>
    <n v="87400"/>
    <n v="529900000"/>
    <x v="10"/>
  </r>
  <r>
    <n v="152"/>
    <s v="liverpoolfc"/>
    <n v="75"/>
    <n v="10000"/>
    <n v="39900000"/>
    <n v="39900000"/>
    <n v="4.1999999999999998E-5"/>
    <n v="162900"/>
    <n v="3500000000"/>
    <x v="6"/>
  </r>
  <r>
    <n v="153"/>
    <s v="teddysphotos"/>
    <n v="80"/>
    <n v="2300"/>
    <n v="39900000"/>
    <n v="39900000"/>
    <n v="4.6E-5"/>
    <n v="181100"/>
    <n v="1700000000"/>
    <x v="1"/>
  </r>
  <r>
    <n v="154"/>
    <s v="worldstar"/>
    <n v="78"/>
    <n v="11600"/>
    <n v="39200000"/>
    <n v="39200000"/>
    <n v="2.3E-5"/>
    <n v="84400"/>
    <n v="1800000000"/>
    <x v="1"/>
  </r>
  <r>
    <n v="155"/>
    <s v="natashawilona12"/>
    <n v="84"/>
    <n v="1200"/>
    <n v="39200000"/>
    <n v="39200000"/>
    <n v="5.8999999999999998E-5"/>
    <n v="227700"/>
    <n v="563900000"/>
    <x v="2"/>
  </r>
  <r>
    <n v="156"/>
    <s v="mahi7781"/>
    <n v="58"/>
    <n v="100"/>
    <n v="39100000"/>
    <n v="39100000"/>
    <n v="1.7E-5"/>
    <n v="0"/>
    <n v="439400000"/>
    <x v="2"/>
  </r>
  <r>
    <n v="157"/>
    <s v="georginagio"/>
    <n v="74"/>
    <n v="730"/>
    <n v="39100000"/>
    <n v="39100000"/>
    <n v="8.5599999999999999E-4"/>
    <n v="3300000"/>
    <n v="1600000000"/>
    <x v="2"/>
  </r>
  <r>
    <n v="158"/>
    <s v="cznburak"/>
    <n v="80"/>
    <n v="1800"/>
    <n v="39000000"/>
    <n v="39000000"/>
    <n v="1.01E-4"/>
    <n v="383300"/>
    <n v="1400000000"/>
    <x v="2"/>
  </r>
  <r>
    <n v="159"/>
    <s v="chrissyteigen"/>
    <n v="79"/>
    <n v="5100"/>
    <n v="38900000"/>
    <n v="38900000"/>
    <n v="4.3000000000000002E-5"/>
    <n v="162100"/>
    <n v="3200000000"/>
    <x v="1"/>
  </r>
  <r>
    <n v="160"/>
    <s v="ruben_onsu"/>
    <n v="75"/>
    <n v="13400"/>
    <n v="38800000"/>
    <n v="38800000"/>
    <n v="1.2999999999999999E-5"/>
    <n v="49100"/>
    <n v="1900000000"/>
    <x v="10"/>
  </r>
  <r>
    <n v="161"/>
    <s v="wizkhalifa"/>
    <n v="80"/>
    <n v="500"/>
    <n v="38700000"/>
    <n v="38700000"/>
    <n v="3.1000000000000001E-5"/>
    <n v="115700"/>
    <n v="199800000"/>
    <x v="1"/>
  </r>
  <r>
    <n v="162"/>
    <s v="hm"/>
    <n v="83"/>
    <n v="7300"/>
    <n v="38500000"/>
    <n v="38500000"/>
    <n v="6.0000000000000002E-6"/>
    <n v="22400"/>
    <n v="644100000"/>
    <x v="20"/>
  </r>
  <r>
    <n v="163"/>
    <s v="anushkasen0408"/>
    <n v="85"/>
    <n v="5300"/>
    <n v="38300000"/>
    <n v="38300000"/>
    <n v="1.75E-4"/>
    <n v="658300"/>
    <n v="3700000000"/>
    <x v="2"/>
  </r>
  <r>
    <n v="164"/>
    <s v="prattprattpratt"/>
    <n v="84"/>
    <n v="730"/>
    <n v="38300000"/>
    <n v="38300000"/>
    <n v="1E-4"/>
    <n v="363800"/>
    <n v="594700000"/>
    <x v="2"/>
  </r>
  <r>
    <n v="165"/>
    <s v="marvelstudios"/>
    <n v="83"/>
    <n v="2700"/>
    <n v="38100000"/>
    <n v="38100000"/>
    <n v="1.5799999999999999E-4"/>
    <n v="555900"/>
    <n v="1600000000"/>
    <x v="2"/>
  </r>
  <r>
    <n v="166"/>
    <s v="wesleysafadao"/>
    <n v="80"/>
    <n v="8900"/>
    <n v="37400000"/>
    <n v="37400000"/>
    <n v="1.9999999999999999E-6"/>
    <n v="0"/>
    <n v="2300000000"/>
    <x v="2"/>
  </r>
  <r>
    <n v="167"/>
    <s v="parineetichopra"/>
    <n v="84"/>
    <n v="1300"/>
    <n v="37400000"/>
    <n v="37400000"/>
    <n v="6.7999999999999999E-5"/>
    <n v="246900"/>
    <n v="672100000"/>
    <x v="2"/>
  </r>
  <r>
    <n v="168"/>
    <s v="rkive"/>
    <n v="83"/>
    <n v="110"/>
    <n v="37000000"/>
    <n v="37000000"/>
    <n v="0"/>
    <n v="0"/>
    <n v="1200000000"/>
    <x v="2"/>
  </r>
  <r>
    <n v="169"/>
    <s v="laudyacynthiabella"/>
    <n v="76"/>
    <n v="380"/>
    <n v="36900000"/>
    <n v="36900000"/>
    <n v="1.2E-5"/>
    <n v="43400"/>
    <n v="66700000"/>
    <x v="10"/>
  </r>
  <r>
    <n v="170"/>
    <s v="antogriezmann"/>
    <n v="83"/>
    <n v="870"/>
    <n v="36500000"/>
    <n v="36500000"/>
    <n v="5.7000000000000003E-5"/>
    <n v="203600"/>
    <n v="955400000"/>
    <x v="12"/>
  </r>
  <r>
    <n v="171"/>
    <s v="gisel_la"/>
    <n v="85"/>
    <n v="9900"/>
    <n v="36500000"/>
    <n v="36500000"/>
    <n v="1.0000000000000001E-5"/>
    <n v="33400"/>
    <n v="1500000000"/>
    <x v="2"/>
  </r>
  <r>
    <n v="172"/>
    <s v="eminem"/>
    <n v="84"/>
    <n v="660"/>
    <n v="36400000"/>
    <n v="36400000"/>
    <n v="2.6899999999999998E-4"/>
    <n v="962700"/>
    <n v="730100000"/>
    <x v="1"/>
  </r>
  <r>
    <n v="173"/>
    <s v="mercedesbenz"/>
    <n v="77"/>
    <n v="10000"/>
    <n v="36000000"/>
    <n v="36000000"/>
    <n v="1.8E-5"/>
    <n v="64600"/>
    <n v="2000000000"/>
    <x v="21"/>
  </r>
  <r>
    <n v="174"/>
    <s v="colesprouse"/>
    <n v="81"/>
    <n v="1200"/>
    <n v="35900000"/>
    <n v="35900000"/>
    <n v="2.34E-4"/>
    <n v="834500"/>
    <n v="2600000000"/>
    <x v="2"/>
  </r>
  <r>
    <n v="175"/>
    <s v="nattinatasha"/>
    <n v="47"/>
    <n v="30"/>
    <n v="35900000"/>
    <n v="35900000"/>
    <n v="8.0000000000000007E-5"/>
    <n v="285900"/>
    <n v="18700000"/>
    <x v="22"/>
  </r>
  <r>
    <n v="176"/>
    <s v="shahidkapoor"/>
    <n v="82"/>
    <n v="1100"/>
    <n v="35600000"/>
    <n v="35600000"/>
    <n v="2.5399999999999999E-4"/>
    <n v="780000"/>
    <n v="1500000000"/>
    <x v="2"/>
  </r>
  <r>
    <n v="177"/>
    <s v="tigerjackieshroff"/>
    <n v="83"/>
    <n v="2100"/>
    <n v="35600000"/>
    <n v="35600000"/>
    <n v="1.2E-4"/>
    <n v="422900"/>
    <n v="2200000000"/>
    <x v="7"/>
  </r>
  <r>
    <n v="178"/>
    <s v="kimberly.loaiza"/>
    <n v="78"/>
    <n v="590"/>
    <n v="35500000"/>
    <n v="35500000"/>
    <n v="5.2300000000000003E-4"/>
    <n v="1800000"/>
    <n v="1600000000"/>
    <x v="23"/>
  </r>
  <r>
    <n v="179"/>
    <s v="barackobama"/>
    <n v="81"/>
    <n v="660"/>
    <n v="35400000"/>
    <n v="35400000"/>
    <n v="1.1900000000000001E-4"/>
    <n v="411500"/>
    <n v="739500000"/>
    <x v="1"/>
  </r>
  <r>
    <n v="180"/>
    <s v="sachintendulkar"/>
    <n v="76"/>
    <n v="1000"/>
    <n v="35300000"/>
    <n v="35300000"/>
    <n v="2.03E-4"/>
    <n v="664500"/>
    <n v="810000000"/>
    <x v="2"/>
  </r>
  <r>
    <n v="181"/>
    <s v="simonemendes"/>
    <n v="72"/>
    <n v="4400"/>
    <n v="35000000"/>
    <n v="35000000"/>
    <n v="6.4999999999999994E-5"/>
    <n v="222900"/>
    <n v="1900000000"/>
    <x v="4"/>
  </r>
  <r>
    <n v="182"/>
    <s v="ivetesangalo"/>
    <n v="84"/>
    <n v="7600"/>
    <n v="34800000"/>
    <n v="34800000"/>
    <n v="3.6000000000000001E-5"/>
    <n v="121100"/>
    <n v="1700000000"/>
    <x v="4"/>
  </r>
  <r>
    <n v="183"/>
    <s v="lunamaya"/>
    <n v="83"/>
    <n v="4100"/>
    <n v="34800000"/>
    <n v="34800000"/>
    <n v="1.7E-5"/>
    <n v="58600"/>
    <n v="589600000"/>
    <x v="2"/>
  </r>
  <r>
    <n v="184"/>
    <s v="toni.kr8s"/>
    <n v="83"/>
    <n v="940"/>
    <n v="34700000"/>
    <n v="34700000"/>
    <n v="1.6799999999999999E-4"/>
    <n v="533500"/>
    <n v="561300000"/>
    <x v="2"/>
  </r>
  <r>
    <n v="185"/>
    <s v="dannapaola"/>
    <n v="68"/>
    <n v="1900"/>
    <n v="34700000"/>
    <n v="34700000"/>
    <n v="3.4900000000000003E-4"/>
    <n v="1200000"/>
    <n v="2800000000"/>
    <x v="23"/>
  </r>
  <r>
    <n v="186"/>
    <s v="paollaoliveirareal"/>
    <n v="84"/>
    <n v="4600"/>
    <n v="34700000"/>
    <n v="34700000"/>
    <n v="5.7000000000000003E-5"/>
    <n v="192300"/>
    <n v="1700000000"/>
    <x v="2"/>
  </r>
  <r>
    <n v="187"/>
    <s v="blakelively"/>
    <n v="80"/>
    <n v="110"/>
    <n v="34600000"/>
    <n v="34600000"/>
    <n v="1.9999999999999999E-6"/>
    <n v="0"/>
    <n v="350900000"/>
    <x v="1"/>
  </r>
  <r>
    <n v="188"/>
    <s v="adidasoriginals"/>
    <n v="83"/>
    <n v="150"/>
    <n v="34200000"/>
    <n v="34200000"/>
    <n v="2.0000000000000002E-5"/>
    <n v="66800"/>
    <n v="21200000"/>
    <x v="2"/>
  </r>
  <r>
    <n v="189"/>
    <s v="disney"/>
    <n v="77"/>
    <n v="7300"/>
    <n v="34200000"/>
    <n v="34200000"/>
    <n v="4.3999999999999999E-5"/>
    <n v="132000"/>
    <n v="1400000000"/>
    <x v="1"/>
  </r>
  <r>
    <n v="190"/>
    <s v="shaymitchell"/>
    <n v="83"/>
    <n v="6300"/>
    <n v="34100000"/>
    <n v="34100000"/>
    <n v="7.2999999999999999E-5"/>
    <n v="247500"/>
    <n v="4600000000"/>
    <x v="1"/>
  </r>
  <r>
    <n v="191"/>
    <s v="bmw"/>
    <n v="79"/>
    <n v="9300"/>
    <n v="33700000"/>
    <n v="33700000"/>
    <n v="2.3E-5"/>
    <n v="76500"/>
    <n v="2200000000"/>
    <x v="24"/>
  </r>
  <r>
    <n v="192"/>
    <s v="danbilzerian"/>
    <n v="84"/>
    <n v="1400"/>
    <n v="33600000"/>
    <n v="33600000"/>
    <n v="3.5799999999999997E-4"/>
    <n v="1200000"/>
    <n v="2800000000"/>
    <x v="3"/>
  </r>
  <r>
    <n v="193"/>
    <s v="khabib_nurmagomedov"/>
    <n v="63"/>
    <n v="4500"/>
    <n v="33500000"/>
    <n v="33500000"/>
    <n v="6.7000000000000002E-5"/>
    <n v="220700"/>
    <n v="3100000000"/>
    <x v="25"/>
  </r>
  <r>
    <n v="194"/>
    <s v="zidane"/>
    <n v="41"/>
    <n v="370"/>
    <n v="33500000"/>
    <n v="33500000"/>
    <n v="1.6100000000000001E-4"/>
    <n v="532700"/>
    <n v="391900000"/>
    <x v="12"/>
  </r>
  <r>
    <n v="195"/>
    <s v="sonamkapoor"/>
    <n v="75"/>
    <n v="4800"/>
    <n v="33300000"/>
    <n v="33300000"/>
    <n v="6.3E-5"/>
    <n v="209200"/>
    <n v="1300000000"/>
    <x v="7"/>
  </r>
  <r>
    <n v="196"/>
    <s v="iambeckyg"/>
    <n v="71"/>
    <n v="2300"/>
    <n v="33200000"/>
    <n v="33200000"/>
    <n v="1.3999999999999999E-4"/>
    <n v="464700"/>
    <n v="1400000000"/>
    <x v="1"/>
  </r>
  <r>
    <n v="197"/>
    <s v="nancyajram"/>
    <n v="81"/>
    <n v="3800"/>
    <n v="33200000"/>
    <n v="33200000"/>
    <n v="6.3999999999999997E-5"/>
    <n v="208000"/>
    <n v="1500000000"/>
    <x v="12"/>
  </r>
  <r>
    <n v="198"/>
    <s v="luansantana"/>
    <n v="79"/>
    <n v="770"/>
    <n v="33200000"/>
    <n v="33200000"/>
    <n v="2.5999999999999998E-5"/>
    <n v="82600"/>
    <n v="149200000"/>
    <x v="4"/>
  </r>
  <r>
    <n v="199"/>
    <s v="nickjonas"/>
    <n v="78"/>
    <n v="2300"/>
    <n v="33000000"/>
    <n v="33000000"/>
    <n v="1.4200000000000001E-4"/>
    <n v="467700"/>
    <n v="1700000000"/>
    <x v="1"/>
  </r>
  <r>
    <n v="200"/>
    <s v="raisa6690"/>
    <n v="80"/>
    <n v="4200"/>
    <n v="32800000"/>
    <n v="32800000"/>
    <n v="3.0000000000000001E-5"/>
    <n v="97400"/>
    <n v="96910000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6">
  <location ref="A3:B14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27">
        <item x="8"/>
        <item x="2"/>
        <item x="1"/>
        <item x="6"/>
        <item x="15"/>
        <item x="9"/>
        <item x="19"/>
        <item x="20"/>
        <item x="0"/>
        <item x="25"/>
        <item x="16"/>
        <item x="5"/>
        <item x="23"/>
        <item x="14"/>
        <item x="10"/>
        <item x="7"/>
        <item x="24"/>
        <item x="12"/>
        <item x="22"/>
        <item x="11"/>
        <item x="3"/>
        <item x="17"/>
        <item x="21"/>
        <item x="4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1">
    <i>
      <x v="2"/>
    </i>
    <i>
      <x v="1"/>
    </i>
    <i>
      <x v="8"/>
    </i>
    <i>
      <x v="23"/>
    </i>
    <i>
      <x v="15"/>
    </i>
    <i>
      <x v="20"/>
    </i>
    <i>
      <x v="14"/>
    </i>
    <i>
      <x v="17"/>
    </i>
    <i>
      <x v="3"/>
    </i>
    <i>
      <x v="11"/>
    </i>
    <i t="grand">
      <x/>
    </i>
  </rowItems>
  <colItems count="1">
    <i/>
  </colItems>
  <dataFields count="1">
    <dataField name="Sum of followers_clean" fld="4" baseField="0" baseItem="0"/>
  </dataFields>
  <chartFormats count="2"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201" totalsRowShown="0">
  <autoFilter ref="A1:J201"/>
  <tableColumns count="10">
    <tableColumn id="1" name="ranks"/>
    <tableColumn id="2" name="channel_info"/>
    <tableColumn id="3" name="influence_score"/>
    <tableColumn id="4" name="total_post"/>
    <tableColumn id="5" name="followers_clean"/>
    <tableColumn id="6" name="avg_likes_clean"/>
    <tableColumn id="7" name="60_eng_rate_clean" dataDxfId="0"/>
    <tableColumn id="8" name="post_avg_like_clean"/>
    <tableColumn id="9" name="total_likes_clean"/>
    <tableColumn id="10" name="coun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E7" sqref="E7"/>
    </sheetView>
  </sheetViews>
  <sheetFormatPr defaultRowHeight="14.4" x14ac:dyDescent="0.3"/>
  <cols>
    <col min="1" max="1" width="14" customWidth="1"/>
    <col min="2" max="2" width="20.77734375" bestFit="1" customWidth="1"/>
  </cols>
  <sheetData>
    <row r="3" spans="1:2" x14ac:dyDescent="0.3">
      <c r="A3" s="3" t="s">
        <v>235</v>
      </c>
      <c r="B3" t="s">
        <v>237</v>
      </c>
    </row>
    <row r="4" spans="1:2" x14ac:dyDescent="0.3">
      <c r="A4" s="4" t="s">
        <v>13</v>
      </c>
      <c r="B4" s="5">
        <v>7147700000</v>
      </c>
    </row>
    <row r="5" spans="1:2" x14ac:dyDescent="0.3">
      <c r="A5" s="4" t="s">
        <v>15</v>
      </c>
      <c r="B5" s="5">
        <v>3927700000</v>
      </c>
    </row>
    <row r="6" spans="1:2" x14ac:dyDescent="0.3">
      <c r="A6" s="4" t="s">
        <v>11</v>
      </c>
      <c r="B6" s="5">
        <v>739300000</v>
      </c>
    </row>
    <row r="7" spans="1:2" x14ac:dyDescent="0.3">
      <c r="A7" s="4" t="s">
        <v>34</v>
      </c>
      <c r="B7" s="5">
        <v>735900000</v>
      </c>
    </row>
    <row r="8" spans="1:2" x14ac:dyDescent="0.3">
      <c r="A8" s="4" t="s">
        <v>64</v>
      </c>
      <c r="B8" s="5">
        <v>677400000</v>
      </c>
    </row>
    <row r="9" spans="1:2" x14ac:dyDescent="0.3">
      <c r="A9" s="4" t="s">
        <v>23</v>
      </c>
      <c r="B9" s="5">
        <v>358000000</v>
      </c>
    </row>
    <row r="10" spans="1:2" x14ac:dyDescent="0.3">
      <c r="A10" s="4" t="s">
        <v>83</v>
      </c>
      <c r="B10" s="5">
        <v>313300000</v>
      </c>
    </row>
    <row r="11" spans="1:2" x14ac:dyDescent="0.3">
      <c r="A11" s="4" t="s">
        <v>91</v>
      </c>
      <c r="B11" s="5">
        <v>269000000</v>
      </c>
    </row>
    <row r="12" spans="1:2" x14ac:dyDescent="0.3">
      <c r="A12" s="4" t="s">
        <v>50</v>
      </c>
      <c r="B12" s="5">
        <v>239500000</v>
      </c>
    </row>
    <row r="13" spans="1:2" x14ac:dyDescent="0.3">
      <c r="A13" s="4" t="s">
        <v>45</v>
      </c>
      <c r="B13" s="5">
        <v>170800000</v>
      </c>
    </row>
    <row r="14" spans="1:2" x14ac:dyDescent="0.3">
      <c r="A14" s="4" t="s">
        <v>236</v>
      </c>
      <c r="B14" s="5">
        <v>14578600000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selection activeCell="L6" sqref="L6"/>
    </sheetView>
  </sheetViews>
  <sheetFormatPr defaultRowHeight="14.4" x14ac:dyDescent="0.3"/>
  <cols>
    <col min="1" max="1" width="7.44140625" customWidth="1"/>
    <col min="2" max="2" width="21.77734375" customWidth="1"/>
    <col min="3" max="3" width="16.109375" customWidth="1"/>
    <col min="4" max="4" width="11.44140625" customWidth="1"/>
    <col min="5" max="6" width="16" customWidth="1"/>
    <col min="7" max="7" width="18.77734375" customWidth="1"/>
    <col min="8" max="8" width="19.88671875" customWidth="1"/>
    <col min="9" max="9" width="16.88671875" customWidth="1"/>
    <col min="10" max="10" width="18.44140625" customWidth="1"/>
    <col min="12" max="12" width="19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>
        <v>1</v>
      </c>
      <c r="B2" t="s">
        <v>10</v>
      </c>
      <c r="C2">
        <v>92</v>
      </c>
      <c r="D2">
        <v>3300</v>
      </c>
      <c r="E2">
        <v>475800000</v>
      </c>
      <c r="F2">
        <v>475800000</v>
      </c>
      <c r="G2">
        <v>1.3899999999999999E-4</v>
      </c>
      <c r="H2">
        <v>6500000</v>
      </c>
      <c r="I2">
        <v>29000000000</v>
      </c>
      <c r="J2" t="s">
        <v>11</v>
      </c>
    </row>
    <row r="3" spans="1:12" x14ac:dyDescent="0.3">
      <c r="A3">
        <v>2</v>
      </c>
      <c r="B3" t="s">
        <v>12</v>
      </c>
      <c r="C3">
        <v>91</v>
      </c>
      <c r="D3">
        <v>6900</v>
      </c>
      <c r="E3">
        <v>366200000</v>
      </c>
      <c r="F3">
        <v>366200000</v>
      </c>
      <c r="G3">
        <v>1.6200000000000001E-4</v>
      </c>
      <c r="H3">
        <v>5900000</v>
      </c>
      <c r="I3">
        <v>57400000000</v>
      </c>
      <c r="J3" t="s">
        <v>13</v>
      </c>
    </row>
    <row r="4" spans="1:12" x14ac:dyDescent="0.3">
      <c r="A4">
        <v>3</v>
      </c>
      <c r="B4" t="s">
        <v>14</v>
      </c>
      <c r="C4">
        <v>90</v>
      </c>
      <c r="D4">
        <v>890</v>
      </c>
      <c r="E4">
        <v>357300000</v>
      </c>
      <c r="F4">
        <v>357300000</v>
      </c>
      <c r="G4">
        <v>1.2400000000000001E-4</v>
      </c>
      <c r="H4">
        <v>4400000</v>
      </c>
      <c r="I4">
        <v>6000000000</v>
      </c>
      <c r="J4" t="s">
        <v>15</v>
      </c>
      <c r="L4">
        <f>COUNTA(B2:B201)</f>
        <v>200</v>
      </c>
    </row>
    <row r="5" spans="1:12" x14ac:dyDescent="0.3">
      <c r="A5">
        <v>4</v>
      </c>
      <c r="B5" t="s">
        <v>16</v>
      </c>
      <c r="C5">
        <v>93</v>
      </c>
      <c r="D5">
        <v>1800</v>
      </c>
      <c r="E5">
        <v>342700000</v>
      </c>
      <c r="F5">
        <v>342700000</v>
      </c>
      <c r="G5" s="1">
        <v>9.7E-5</v>
      </c>
      <c r="H5">
        <v>3300000</v>
      </c>
      <c r="I5">
        <v>11500000000</v>
      </c>
      <c r="J5" t="s">
        <v>13</v>
      </c>
      <c r="L5">
        <f>SUM(I2:I201)</f>
        <v>731622500000</v>
      </c>
    </row>
    <row r="6" spans="1:12" x14ac:dyDescent="0.3">
      <c r="A6">
        <v>5</v>
      </c>
      <c r="B6" t="s">
        <v>17</v>
      </c>
      <c r="C6">
        <v>91</v>
      </c>
      <c r="D6">
        <v>6800</v>
      </c>
      <c r="E6">
        <v>334100000</v>
      </c>
      <c r="F6">
        <v>334100000</v>
      </c>
      <c r="G6" s="1">
        <v>2.0000000000000002E-5</v>
      </c>
      <c r="H6">
        <v>665300</v>
      </c>
      <c r="I6">
        <v>12500000000</v>
      </c>
      <c r="J6" t="s">
        <v>13</v>
      </c>
      <c r="L6">
        <f>AVERAGE(G2:G201)</f>
        <v>1.8925000000000018E-4</v>
      </c>
    </row>
    <row r="7" spans="1:12" x14ac:dyDescent="0.3">
      <c r="A7">
        <v>6</v>
      </c>
      <c r="B7" t="s">
        <v>18</v>
      </c>
      <c r="C7">
        <v>91</v>
      </c>
      <c r="D7">
        <v>5600</v>
      </c>
      <c r="E7">
        <v>329200000</v>
      </c>
      <c r="F7">
        <v>329200000</v>
      </c>
      <c r="G7" s="1">
        <v>8.7999999999999998E-5</v>
      </c>
      <c r="H7">
        <v>2900000</v>
      </c>
      <c r="I7">
        <v>19900000000</v>
      </c>
      <c r="J7" t="s">
        <v>13</v>
      </c>
    </row>
    <row r="8" spans="1:12" x14ac:dyDescent="0.3">
      <c r="A8">
        <v>7</v>
      </c>
      <c r="B8" t="s">
        <v>19</v>
      </c>
      <c r="C8">
        <v>92</v>
      </c>
      <c r="D8">
        <v>5000</v>
      </c>
      <c r="E8">
        <v>327700000</v>
      </c>
      <c r="F8">
        <v>327700000</v>
      </c>
      <c r="G8">
        <v>1.2E-4</v>
      </c>
      <c r="H8">
        <v>3900000</v>
      </c>
      <c r="I8">
        <v>18400000000</v>
      </c>
      <c r="J8" t="s">
        <v>13</v>
      </c>
    </row>
    <row r="9" spans="1:12" x14ac:dyDescent="0.3">
      <c r="A9">
        <v>8</v>
      </c>
      <c r="B9" t="s">
        <v>20</v>
      </c>
      <c r="C9">
        <v>92</v>
      </c>
      <c r="D9">
        <v>2000</v>
      </c>
      <c r="E9">
        <v>272800000</v>
      </c>
      <c r="F9">
        <v>272800000</v>
      </c>
      <c r="G9" s="1">
        <v>7.6000000000000004E-5</v>
      </c>
      <c r="H9">
        <v>2000000</v>
      </c>
      <c r="I9">
        <v>7400000000</v>
      </c>
      <c r="J9" t="s">
        <v>13</v>
      </c>
    </row>
    <row r="10" spans="1:12" x14ac:dyDescent="0.3">
      <c r="A10">
        <v>9</v>
      </c>
      <c r="B10" t="s">
        <v>21</v>
      </c>
      <c r="C10">
        <v>89</v>
      </c>
      <c r="D10">
        <v>4100</v>
      </c>
      <c r="E10">
        <v>268300000</v>
      </c>
      <c r="F10">
        <v>268300000</v>
      </c>
      <c r="G10" s="1">
        <v>3.4999999999999997E-5</v>
      </c>
      <c r="H10">
        <v>926900</v>
      </c>
      <c r="I10">
        <v>9800000000</v>
      </c>
      <c r="J10" t="s">
        <v>13</v>
      </c>
    </row>
    <row r="11" spans="1:12" x14ac:dyDescent="0.3">
      <c r="A11">
        <v>10</v>
      </c>
      <c r="B11" t="s">
        <v>22</v>
      </c>
      <c r="C11">
        <v>91</v>
      </c>
      <c r="D11">
        <v>7400</v>
      </c>
      <c r="E11">
        <v>254500000</v>
      </c>
      <c r="F11">
        <v>254500000</v>
      </c>
      <c r="G11" s="1">
        <v>5.8999999999999998E-5</v>
      </c>
      <c r="H11">
        <v>1500000</v>
      </c>
      <c r="I11">
        <v>13900000000</v>
      </c>
      <c r="J11" t="s">
        <v>23</v>
      </c>
    </row>
    <row r="12" spans="1:12" x14ac:dyDescent="0.3">
      <c r="A12">
        <v>11</v>
      </c>
      <c r="B12" t="s">
        <v>24</v>
      </c>
      <c r="C12">
        <v>90</v>
      </c>
      <c r="D12">
        <v>660</v>
      </c>
      <c r="E12">
        <v>254000000</v>
      </c>
      <c r="F12">
        <v>254000000</v>
      </c>
      <c r="G12">
        <v>2.04E-4</v>
      </c>
      <c r="H12">
        <v>5100000</v>
      </c>
      <c r="I12">
        <v>3700000000</v>
      </c>
      <c r="J12" t="s">
        <v>13</v>
      </c>
    </row>
    <row r="13" spans="1:12" x14ac:dyDescent="0.3">
      <c r="A13">
        <v>12</v>
      </c>
      <c r="B13" t="s">
        <v>25</v>
      </c>
      <c r="C13">
        <v>91</v>
      </c>
      <c r="D13">
        <v>10000</v>
      </c>
      <c r="E13">
        <v>237000000</v>
      </c>
      <c r="F13">
        <v>237000000</v>
      </c>
      <c r="G13" s="1">
        <v>6.9999999999999999E-6</v>
      </c>
      <c r="H13">
        <v>159300</v>
      </c>
      <c r="I13">
        <v>3000000000</v>
      </c>
      <c r="J13" t="s">
        <v>13</v>
      </c>
    </row>
    <row r="14" spans="1:12" x14ac:dyDescent="0.3">
      <c r="A14">
        <v>13</v>
      </c>
      <c r="B14" t="s">
        <v>26</v>
      </c>
      <c r="C14">
        <v>90</v>
      </c>
      <c r="D14">
        <v>950</v>
      </c>
      <c r="E14">
        <v>234100000</v>
      </c>
      <c r="F14">
        <v>234100000</v>
      </c>
      <c r="G14" s="1">
        <v>7.9999999999999996E-6</v>
      </c>
      <c r="H14">
        <v>181800</v>
      </c>
      <c r="I14">
        <v>313600000</v>
      </c>
      <c r="J14" t="s">
        <v>13</v>
      </c>
    </row>
    <row r="15" spans="1:12" x14ac:dyDescent="0.3">
      <c r="A15">
        <v>14</v>
      </c>
      <c r="B15" t="s">
        <v>27</v>
      </c>
      <c r="C15">
        <v>91</v>
      </c>
      <c r="D15">
        <v>530</v>
      </c>
      <c r="E15">
        <v>222200000</v>
      </c>
      <c r="F15">
        <v>222200000</v>
      </c>
      <c r="G15">
        <v>1.01E-4</v>
      </c>
      <c r="H15">
        <v>2300000</v>
      </c>
      <c r="I15">
        <v>1300000000</v>
      </c>
      <c r="J15" t="s">
        <v>13</v>
      </c>
    </row>
    <row r="16" spans="1:12" x14ac:dyDescent="0.3">
      <c r="A16">
        <v>15</v>
      </c>
      <c r="B16" t="s">
        <v>28</v>
      </c>
      <c r="C16">
        <v>89</v>
      </c>
      <c r="D16">
        <v>3200</v>
      </c>
      <c r="E16">
        <v>220400000</v>
      </c>
      <c r="F16">
        <v>220400000</v>
      </c>
      <c r="G16" s="1">
        <v>6.2000000000000003E-5</v>
      </c>
      <c r="H16">
        <v>1400000</v>
      </c>
      <c r="I16">
        <v>5300000000</v>
      </c>
      <c r="J16" t="s">
        <v>13</v>
      </c>
    </row>
    <row r="17" spans="1:10" x14ac:dyDescent="0.3">
      <c r="A17">
        <v>16</v>
      </c>
      <c r="B17" t="s">
        <v>29</v>
      </c>
      <c r="C17">
        <v>87</v>
      </c>
      <c r="D17">
        <v>1400</v>
      </c>
      <c r="E17">
        <v>211800000</v>
      </c>
      <c r="F17">
        <v>211800000</v>
      </c>
      <c r="G17" s="1">
        <v>9.6000000000000002E-5</v>
      </c>
      <c r="H17">
        <v>2000000</v>
      </c>
      <c r="I17">
        <v>4900000000</v>
      </c>
      <c r="J17" t="s">
        <v>15</v>
      </c>
    </row>
    <row r="18" spans="1:10" x14ac:dyDescent="0.3">
      <c r="A18">
        <v>17</v>
      </c>
      <c r="B18" t="s">
        <v>30</v>
      </c>
      <c r="C18">
        <v>90</v>
      </c>
      <c r="D18">
        <v>6400</v>
      </c>
      <c r="E18">
        <v>201600000</v>
      </c>
      <c r="F18">
        <v>201600000</v>
      </c>
      <c r="G18" s="1">
        <v>5.3000000000000001E-5</v>
      </c>
      <c r="H18">
        <v>1000000</v>
      </c>
      <c r="I18">
        <v>13500000000</v>
      </c>
      <c r="J18" t="s">
        <v>13</v>
      </c>
    </row>
    <row r="19" spans="1:10" x14ac:dyDescent="0.3">
      <c r="A19">
        <v>18</v>
      </c>
      <c r="B19" t="s">
        <v>31</v>
      </c>
      <c r="C19">
        <v>89</v>
      </c>
      <c r="D19">
        <v>4400</v>
      </c>
      <c r="E19">
        <v>195200000</v>
      </c>
      <c r="F19">
        <v>195200000</v>
      </c>
      <c r="G19" s="1">
        <v>6.7000000000000002E-5</v>
      </c>
      <c r="H19">
        <v>1300000</v>
      </c>
      <c r="I19">
        <v>7700000000</v>
      </c>
      <c r="J19" t="s">
        <v>13</v>
      </c>
    </row>
    <row r="20" spans="1:10" x14ac:dyDescent="0.3">
      <c r="A20">
        <v>19</v>
      </c>
      <c r="B20" t="s">
        <v>32</v>
      </c>
      <c r="C20">
        <v>89</v>
      </c>
      <c r="D20">
        <v>1200</v>
      </c>
      <c r="E20">
        <v>181500000</v>
      </c>
      <c r="F20">
        <v>181500000</v>
      </c>
      <c r="G20" s="1">
        <v>5.1E-5</v>
      </c>
      <c r="H20">
        <v>913600</v>
      </c>
      <c r="I20">
        <v>1600000000</v>
      </c>
      <c r="J20" t="s">
        <v>15</v>
      </c>
    </row>
    <row r="21" spans="1:10" x14ac:dyDescent="0.3">
      <c r="A21">
        <v>20</v>
      </c>
      <c r="B21" t="s">
        <v>33</v>
      </c>
      <c r="C21">
        <v>90</v>
      </c>
      <c r="D21">
        <v>5300</v>
      </c>
      <c r="E21">
        <v>177100000</v>
      </c>
      <c r="F21">
        <v>177100000</v>
      </c>
      <c r="G21">
        <v>1.0900000000000001E-4</v>
      </c>
      <c r="H21">
        <v>1900000</v>
      </c>
      <c r="I21">
        <v>14100000000</v>
      </c>
      <c r="J21" t="s">
        <v>34</v>
      </c>
    </row>
    <row r="22" spans="1:10" x14ac:dyDescent="0.3">
      <c r="A22">
        <v>21</v>
      </c>
      <c r="B22" t="s">
        <v>35</v>
      </c>
      <c r="C22">
        <v>92</v>
      </c>
      <c r="D22">
        <v>2000</v>
      </c>
      <c r="E22">
        <v>170300000</v>
      </c>
      <c r="F22">
        <v>170300000</v>
      </c>
      <c r="G22" s="1">
        <v>1.5999999999999999E-5</v>
      </c>
      <c r="H22">
        <v>265100</v>
      </c>
      <c r="I22">
        <v>1500000000</v>
      </c>
      <c r="J22" t="s">
        <v>15</v>
      </c>
    </row>
    <row r="23" spans="1:10" x14ac:dyDescent="0.3">
      <c r="A23">
        <v>22</v>
      </c>
      <c r="B23" t="s">
        <v>36</v>
      </c>
      <c r="C23">
        <v>88</v>
      </c>
      <c r="D23">
        <v>8200</v>
      </c>
      <c r="E23">
        <v>152000000</v>
      </c>
      <c r="F23">
        <v>152000000</v>
      </c>
      <c r="G23" s="1">
        <v>7.9999999999999996E-6</v>
      </c>
      <c r="H23">
        <v>115200</v>
      </c>
      <c r="I23">
        <v>4300000000</v>
      </c>
      <c r="J23" t="s">
        <v>13</v>
      </c>
    </row>
    <row r="24" spans="1:10" x14ac:dyDescent="0.3">
      <c r="A24">
        <v>23</v>
      </c>
      <c r="B24" t="s">
        <v>37</v>
      </c>
      <c r="C24">
        <v>87</v>
      </c>
      <c r="D24">
        <v>3500</v>
      </c>
      <c r="E24">
        <v>150700000</v>
      </c>
      <c r="F24">
        <v>150700000</v>
      </c>
      <c r="G24">
        <v>3.1700000000000001E-4</v>
      </c>
      <c r="H24">
        <v>4800000</v>
      </c>
      <c r="I24">
        <v>20600000000</v>
      </c>
      <c r="J24" t="s">
        <v>13</v>
      </c>
    </row>
    <row r="25" spans="1:10" x14ac:dyDescent="0.3">
      <c r="A25">
        <v>24</v>
      </c>
      <c r="B25" t="s">
        <v>38</v>
      </c>
      <c r="C25">
        <v>75</v>
      </c>
      <c r="D25">
        <v>1600</v>
      </c>
      <c r="E25">
        <v>140500000</v>
      </c>
      <c r="F25">
        <v>140500000</v>
      </c>
      <c r="G25">
        <v>1.1E-4</v>
      </c>
      <c r="H25">
        <v>1500000</v>
      </c>
      <c r="I25">
        <v>5000000000</v>
      </c>
      <c r="J25" t="s">
        <v>13</v>
      </c>
    </row>
    <row r="26" spans="1:10" x14ac:dyDescent="0.3">
      <c r="A26">
        <v>25</v>
      </c>
      <c r="B26" t="s">
        <v>39</v>
      </c>
      <c r="C26">
        <v>88</v>
      </c>
      <c r="D26">
        <v>80</v>
      </c>
      <c r="E26">
        <v>139100000</v>
      </c>
      <c r="F26">
        <v>139100000</v>
      </c>
      <c r="G26" s="1">
        <v>2.6999999999999999E-5</v>
      </c>
      <c r="H26">
        <v>363400</v>
      </c>
      <c r="I26">
        <v>91300000</v>
      </c>
      <c r="J26" t="s">
        <v>13</v>
      </c>
    </row>
    <row r="27" spans="1:10" x14ac:dyDescent="0.3">
      <c r="A27">
        <v>26</v>
      </c>
      <c r="B27" t="s">
        <v>40</v>
      </c>
      <c r="C27">
        <v>88</v>
      </c>
      <c r="D27">
        <v>4800</v>
      </c>
      <c r="E27">
        <v>135300000</v>
      </c>
      <c r="F27">
        <v>135300000</v>
      </c>
      <c r="G27" s="1">
        <v>1.9999999999999999E-6</v>
      </c>
      <c r="H27">
        <v>0</v>
      </c>
      <c r="I27">
        <v>17900000000</v>
      </c>
      <c r="J27" t="s">
        <v>13</v>
      </c>
    </row>
    <row r="28" spans="1:10" x14ac:dyDescent="0.3">
      <c r="A28">
        <v>27</v>
      </c>
      <c r="B28" t="s">
        <v>41</v>
      </c>
      <c r="C28">
        <v>86</v>
      </c>
      <c r="D28">
        <v>2300</v>
      </c>
      <c r="E28">
        <v>130900000</v>
      </c>
      <c r="F28">
        <v>130900000</v>
      </c>
      <c r="G28" s="1">
        <v>9.2E-5</v>
      </c>
      <c r="H28">
        <v>1200000</v>
      </c>
      <c r="I28">
        <v>4900000000</v>
      </c>
      <c r="J28" t="s">
        <v>15</v>
      </c>
    </row>
    <row r="29" spans="1:10" x14ac:dyDescent="0.3">
      <c r="A29">
        <v>28</v>
      </c>
      <c r="B29" t="s">
        <v>42</v>
      </c>
      <c r="C29">
        <v>87</v>
      </c>
      <c r="D29">
        <v>10000</v>
      </c>
      <c r="E29">
        <v>125100000</v>
      </c>
      <c r="F29">
        <v>125100000</v>
      </c>
      <c r="G29" s="1">
        <v>6.9999999999999999E-6</v>
      </c>
      <c r="H29">
        <v>81700</v>
      </c>
      <c r="I29">
        <v>4200000000</v>
      </c>
      <c r="J29" t="s">
        <v>13</v>
      </c>
    </row>
    <row r="30" spans="1:10" x14ac:dyDescent="0.3">
      <c r="A30">
        <v>29</v>
      </c>
      <c r="B30" t="s">
        <v>43</v>
      </c>
      <c r="C30">
        <v>90</v>
      </c>
      <c r="D30">
        <v>6900</v>
      </c>
      <c r="E30">
        <v>123400000</v>
      </c>
      <c r="F30">
        <v>123400000</v>
      </c>
      <c r="G30" s="1">
        <v>4.8000000000000001E-5</v>
      </c>
      <c r="H30">
        <v>588300</v>
      </c>
      <c r="I30">
        <v>6800000000</v>
      </c>
      <c r="J30" t="s">
        <v>11</v>
      </c>
    </row>
    <row r="31" spans="1:10" x14ac:dyDescent="0.3">
      <c r="A31">
        <v>30</v>
      </c>
      <c r="B31" t="s">
        <v>44</v>
      </c>
      <c r="C31">
        <v>85</v>
      </c>
      <c r="D31">
        <v>5200</v>
      </c>
      <c r="E31">
        <v>119600000</v>
      </c>
      <c r="F31">
        <v>119600000</v>
      </c>
      <c r="G31">
        <v>1.1E-4</v>
      </c>
      <c r="H31">
        <v>1300000</v>
      </c>
      <c r="I31">
        <v>9000000000</v>
      </c>
      <c r="J31" t="s">
        <v>45</v>
      </c>
    </row>
    <row r="32" spans="1:10" x14ac:dyDescent="0.3">
      <c r="A32">
        <v>31</v>
      </c>
      <c r="B32" t="s">
        <v>46</v>
      </c>
      <c r="C32">
        <v>86</v>
      </c>
      <c r="D32">
        <v>7300</v>
      </c>
      <c r="E32">
        <v>118500000</v>
      </c>
      <c r="F32">
        <v>118500000</v>
      </c>
      <c r="G32" s="1">
        <v>2.1999999999999999E-5</v>
      </c>
      <c r="H32">
        <v>255900</v>
      </c>
      <c r="I32">
        <v>3400000000</v>
      </c>
      <c r="J32" t="s">
        <v>13</v>
      </c>
    </row>
    <row r="33" spans="1:10" x14ac:dyDescent="0.3">
      <c r="A33">
        <v>32</v>
      </c>
      <c r="B33" t="s">
        <v>47</v>
      </c>
      <c r="C33">
        <v>90</v>
      </c>
      <c r="D33">
        <v>10000</v>
      </c>
      <c r="E33">
        <v>111400000</v>
      </c>
      <c r="F33">
        <v>111400000</v>
      </c>
      <c r="G33" s="1">
        <v>6.3999999999999997E-5</v>
      </c>
      <c r="H33">
        <v>706300</v>
      </c>
      <c r="I33">
        <v>11600000000</v>
      </c>
      <c r="J33" t="s">
        <v>15</v>
      </c>
    </row>
    <row r="34" spans="1:10" x14ac:dyDescent="0.3">
      <c r="A34">
        <v>33</v>
      </c>
      <c r="B34" t="s">
        <v>48</v>
      </c>
      <c r="C34">
        <v>73</v>
      </c>
      <c r="D34">
        <v>690</v>
      </c>
      <c r="E34">
        <v>105200000</v>
      </c>
      <c r="F34">
        <v>105200000</v>
      </c>
      <c r="G34">
        <v>5.0199999999999995E-4</v>
      </c>
      <c r="H34">
        <v>5200000</v>
      </c>
      <c r="I34">
        <v>5900000000</v>
      </c>
      <c r="J34" t="s">
        <v>15</v>
      </c>
    </row>
    <row r="35" spans="1:10" x14ac:dyDescent="0.3">
      <c r="A35">
        <v>34</v>
      </c>
      <c r="B35" t="s">
        <v>49</v>
      </c>
      <c r="C35">
        <v>74</v>
      </c>
      <c r="D35">
        <v>1300</v>
      </c>
      <c r="E35">
        <v>85900000</v>
      </c>
      <c r="F35">
        <v>85900000</v>
      </c>
      <c r="G35">
        <v>1.26E-4</v>
      </c>
      <c r="H35">
        <v>1100000</v>
      </c>
      <c r="I35">
        <v>2600000000</v>
      </c>
      <c r="J35" t="s">
        <v>50</v>
      </c>
    </row>
    <row r="36" spans="1:10" x14ac:dyDescent="0.3">
      <c r="A36">
        <v>35</v>
      </c>
      <c r="B36" t="s">
        <v>51</v>
      </c>
      <c r="C36">
        <v>85</v>
      </c>
      <c r="D36">
        <v>1700</v>
      </c>
      <c r="E36">
        <v>85600000</v>
      </c>
      <c r="F36">
        <v>85600000</v>
      </c>
      <c r="G36" s="1">
        <v>6.8999999999999997E-5</v>
      </c>
      <c r="H36">
        <v>586500</v>
      </c>
      <c r="I36">
        <v>2300000000</v>
      </c>
      <c r="J36" t="s">
        <v>13</v>
      </c>
    </row>
    <row r="37" spans="1:10" x14ac:dyDescent="0.3">
      <c r="A37">
        <v>36</v>
      </c>
      <c r="B37" t="s">
        <v>52</v>
      </c>
      <c r="C37">
        <v>88</v>
      </c>
      <c r="D37">
        <v>1800</v>
      </c>
      <c r="E37">
        <v>82300000</v>
      </c>
      <c r="F37">
        <v>82300000</v>
      </c>
      <c r="G37" s="1">
        <v>6.0000000000000002E-5</v>
      </c>
      <c r="H37">
        <v>482300</v>
      </c>
      <c r="I37">
        <v>2500000000</v>
      </c>
      <c r="J37" t="s">
        <v>13</v>
      </c>
    </row>
    <row r="38" spans="1:10" x14ac:dyDescent="0.3">
      <c r="A38">
        <v>37</v>
      </c>
      <c r="B38" t="s">
        <v>53</v>
      </c>
      <c r="C38">
        <v>88</v>
      </c>
      <c r="D38">
        <v>3600</v>
      </c>
      <c r="E38">
        <v>81300000</v>
      </c>
      <c r="F38">
        <v>81300000</v>
      </c>
      <c r="G38">
        <v>1.5300000000000001E-4</v>
      </c>
      <c r="H38">
        <v>1200000</v>
      </c>
      <c r="I38">
        <v>4200000000</v>
      </c>
      <c r="J38" t="s">
        <v>13</v>
      </c>
    </row>
    <row r="39" spans="1:10" x14ac:dyDescent="0.3">
      <c r="A39">
        <v>38</v>
      </c>
      <c r="B39" t="s">
        <v>54</v>
      </c>
      <c r="C39">
        <v>85</v>
      </c>
      <c r="D39">
        <v>3600</v>
      </c>
      <c r="E39">
        <v>81100000</v>
      </c>
      <c r="F39">
        <v>81100000</v>
      </c>
      <c r="G39">
        <v>1E-4</v>
      </c>
      <c r="H39">
        <v>802900</v>
      </c>
      <c r="I39">
        <v>5600000000</v>
      </c>
      <c r="J39" t="s">
        <v>13</v>
      </c>
    </row>
    <row r="40" spans="1:10" x14ac:dyDescent="0.3">
      <c r="A40">
        <v>39</v>
      </c>
      <c r="B40" t="s">
        <v>55</v>
      </c>
      <c r="C40">
        <v>70</v>
      </c>
      <c r="D40">
        <v>870</v>
      </c>
      <c r="E40">
        <v>80900000</v>
      </c>
      <c r="F40">
        <v>80900000</v>
      </c>
      <c r="G40">
        <v>8.9999999999999998E-4</v>
      </c>
      <c r="H40">
        <v>7200000</v>
      </c>
      <c r="I40">
        <v>5100000000</v>
      </c>
      <c r="J40" t="s">
        <v>15</v>
      </c>
    </row>
    <row r="41" spans="1:10" x14ac:dyDescent="0.3">
      <c r="A41">
        <v>40</v>
      </c>
      <c r="B41" t="s">
        <v>56</v>
      </c>
      <c r="C41">
        <v>88</v>
      </c>
      <c r="D41">
        <v>2000</v>
      </c>
      <c r="E41">
        <v>76100000</v>
      </c>
      <c r="F41">
        <v>76100000</v>
      </c>
      <c r="G41" s="1">
        <v>4.1E-5</v>
      </c>
      <c r="H41">
        <v>304700</v>
      </c>
      <c r="I41">
        <v>1900000000</v>
      </c>
      <c r="J41" t="s">
        <v>15</v>
      </c>
    </row>
    <row r="42" spans="1:10" x14ac:dyDescent="0.3">
      <c r="A42">
        <v>41</v>
      </c>
      <c r="B42" t="s">
        <v>57</v>
      </c>
      <c r="C42">
        <v>86</v>
      </c>
      <c r="D42">
        <v>10000</v>
      </c>
      <c r="E42">
        <v>75300000</v>
      </c>
      <c r="F42">
        <v>75300000</v>
      </c>
      <c r="G42" s="1">
        <v>1.7E-5</v>
      </c>
      <c r="H42">
        <v>125800</v>
      </c>
      <c r="I42">
        <v>2000000000</v>
      </c>
      <c r="J42" t="s">
        <v>15</v>
      </c>
    </row>
    <row r="43" spans="1:10" x14ac:dyDescent="0.3">
      <c r="A43">
        <v>42</v>
      </c>
      <c r="B43" t="s">
        <v>58</v>
      </c>
      <c r="C43">
        <v>85</v>
      </c>
      <c r="D43">
        <v>3300</v>
      </c>
      <c r="E43">
        <v>75300000</v>
      </c>
      <c r="F43">
        <v>75300000</v>
      </c>
      <c r="G43">
        <v>2.5599999999999999E-4</v>
      </c>
      <c r="H43">
        <v>1900000</v>
      </c>
      <c r="I43">
        <v>8200000000</v>
      </c>
      <c r="J43" t="s">
        <v>13</v>
      </c>
    </row>
    <row r="44" spans="1:10" x14ac:dyDescent="0.3">
      <c r="A44">
        <v>43</v>
      </c>
      <c r="B44" t="s">
        <v>59</v>
      </c>
      <c r="C44">
        <v>86</v>
      </c>
      <c r="D44">
        <v>1500</v>
      </c>
      <c r="E44">
        <v>74900000</v>
      </c>
      <c r="F44">
        <v>74900000</v>
      </c>
      <c r="G44" s="1">
        <v>4.6E-5</v>
      </c>
      <c r="H44">
        <v>340900</v>
      </c>
      <c r="I44">
        <v>1900000000</v>
      </c>
      <c r="J44" t="s">
        <v>13</v>
      </c>
    </row>
    <row r="45" spans="1:10" x14ac:dyDescent="0.3">
      <c r="A45">
        <v>44</v>
      </c>
      <c r="B45" t="s">
        <v>60</v>
      </c>
      <c r="C45">
        <v>81</v>
      </c>
      <c r="D45">
        <v>1900</v>
      </c>
      <c r="E45">
        <v>73900000</v>
      </c>
      <c r="F45">
        <v>73900000</v>
      </c>
      <c r="G45">
        <v>1.17E-4</v>
      </c>
      <c r="H45">
        <v>859900</v>
      </c>
      <c r="I45">
        <v>3000000000</v>
      </c>
      <c r="J45" t="s">
        <v>15</v>
      </c>
    </row>
    <row r="46" spans="1:10" x14ac:dyDescent="0.3">
      <c r="A46">
        <v>45</v>
      </c>
      <c r="B46" t="s">
        <v>61</v>
      </c>
      <c r="C46">
        <v>88</v>
      </c>
      <c r="D46">
        <v>2900</v>
      </c>
      <c r="E46">
        <v>73200000</v>
      </c>
      <c r="F46">
        <v>73200000</v>
      </c>
      <c r="G46" s="1">
        <v>3.9999999999999998E-6</v>
      </c>
      <c r="H46">
        <v>29800</v>
      </c>
      <c r="I46">
        <v>423500000</v>
      </c>
      <c r="J46" t="s">
        <v>13</v>
      </c>
    </row>
    <row r="47" spans="1:10" x14ac:dyDescent="0.3">
      <c r="A47">
        <v>46</v>
      </c>
      <c r="B47" t="s">
        <v>62</v>
      </c>
      <c r="C47">
        <v>86</v>
      </c>
      <c r="D47">
        <v>1200</v>
      </c>
      <c r="E47">
        <v>72700000</v>
      </c>
      <c r="F47">
        <v>72700000</v>
      </c>
      <c r="G47">
        <v>2.1599999999999999E-4</v>
      </c>
      <c r="H47">
        <v>1600000</v>
      </c>
      <c r="I47">
        <v>2800000000</v>
      </c>
      <c r="J47" t="s">
        <v>15</v>
      </c>
    </row>
    <row r="48" spans="1:10" x14ac:dyDescent="0.3">
      <c r="A48">
        <v>47</v>
      </c>
      <c r="B48" t="s">
        <v>63</v>
      </c>
      <c r="C48">
        <v>84</v>
      </c>
      <c r="D48">
        <v>2300</v>
      </c>
      <c r="E48">
        <v>70400000</v>
      </c>
      <c r="F48">
        <v>70400000</v>
      </c>
      <c r="G48" s="1">
        <v>5.3999999999999998E-5</v>
      </c>
      <c r="H48">
        <v>370100</v>
      </c>
      <c r="I48">
        <v>3500000000</v>
      </c>
      <c r="J48" t="s">
        <v>64</v>
      </c>
    </row>
    <row r="49" spans="1:10" x14ac:dyDescent="0.3">
      <c r="A49">
        <v>48</v>
      </c>
      <c r="B49" t="s">
        <v>65</v>
      </c>
      <c r="C49">
        <v>87</v>
      </c>
      <c r="D49">
        <v>12900</v>
      </c>
      <c r="E49">
        <v>70100000</v>
      </c>
      <c r="F49">
        <v>70100000</v>
      </c>
      <c r="G49" s="1">
        <v>2.8E-5</v>
      </c>
      <c r="H49">
        <v>196900</v>
      </c>
      <c r="I49">
        <v>4800000000</v>
      </c>
      <c r="J49" t="s">
        <v>13</v>
      </c>
    </row>
    <row r="50" spans="1:10" x14ac:dyDescent="0.3">
      <c r="A50">
        <v>49</v>
      </c>
      <c r="B50" t="s">
        <v>66</v>
      </c>
      <c r="C50">
        <v>83</v>
      </c>
      <c r="D50">
        <v>2500</v>
      </c>
      <c r="E50">
        <v>69900000</v>
      </c>
      <c r="F50">
        <v>69900000</v>
      </c>
      <c r="G50">
        <v>2.8699999999999998E-4</v>
      </c>
      <c r="H50">
        <v>2000000</v>
      </c>
      <c r="I50">
        <v>8800000000</v>
      </c>
      <c r="J50" t="s">
        <v>23</v>
      </c>
    </row>
    <row r="51" spans="1:10" x14ac:dyDescent="0.3">
      <c r="A51">
        <v>50</v>
      </c>
      <c r="B51" t="s">
        <v>67</v>
      </c>
      <c r="C51">
        <v>76</v>
      </c>
      <c r="D51">
        <v>860</v>
      </c>
      <c r="E51">
        <v>68900000</v>
      </c>
      <c r="F51">
        <v>68900000</v>
      </c>
      <c r="G51">
        <v>8.3600000000000005E-4</v>
      </c>
      <c r="H51">
        <v>5700000</v>
      </c>
      <c r="I51">
        <v>4400000000</v>
      </c>
      <c r="J51" t="s">
        <v>15</v>
      </c>
    </row>
    <row r="52" spans="1:10" x14ac:dyDescent="0.3">
      <c r="A52">
        <v>51</v>
      </c>
      <c r="B52" t="s">
        <v>68</v>
      </c>
      <c r="C52">
        <v>85</v>
      </c>
      <c r="D52">
        <v>540</v>
      </c>
      <c r="E52">
        <v>68900000</v>
      </c>
      <c r="F52">
        <v>68900000</v>
      </c>
      <c r="G52">
        <v>3.01E-4</v>
      </c>
      <c r="H52">
        <v>2000000</v>
      </c>
      <c r="I52">
        <v>1600000000</v>
      </c>
      <c r="J52" t="s">
        <v>64</v>
      </c>
    </row>
    <row r="53" spans="1:10" x14ac:dyDescent="0.3">
      <c r="A53">
        <v>52</v>
      </c>
      <c r="B53" t="s">
        <v>69</v>
      </c>
      <c r="C53">
        <v>82</v>
      </c>
      <c r="D53">
        <v>1800</v>
      </c>
      <c r="E53">
        <v>68700000</v>
      </c>
      <c r="F53">
        <v>68700000</v>
      </c>
      <c r="G53">
        <v>3.1399999999999999E-4</v>
      </c>
      <c r="H53">
        <v>2100000</v>
      </c>
      <c r="I53">
        <v>3300000000</v>
      </c>
      <c r="J53" t="s">
        <v>64</v>
      </c>
    </row>
    <row r="54" spans="1:10" x14ac:dyDescent="0.3">
      <c r="A54">
        <v>53</v>
      </c>
      <c r="B54" t="s">
        <v>70</v>
      </c>
      <c r="C54">
        <v>83</v>
      </c>
      <c r="D54">
        <v>260</v>
      </c>
      <c r="E54">
        <v>68400000</v>
      </c>
      <c r="F54">
        <v>68400000</v>
      </c>
      <c r="G54">
        <v>2.23E-4</v>
      </c>
      <c r="H54">
        <v>1500000</v>
      </c>
      <c r="I54">
        <v>419000000</v>
      </c>
      <c r="J54" t="s">
        <v>64</v>
      </c>
    </row>
    <row r="55" spans="1:10" x14ac:dyDescent="0.3">
      <c r="A55">
        <v>54</v>
      </c>
      <c r="B55" t="s">
        <v>71</v>
      </c>
      <c r="C55">
        <v>77</v>
      </c>
      <c r="D55">
        <v>1200</v>
      </c>
      <c r="E55">
        <v>67700000</v>
      </c>
      <c r="F55">
        <v>67700000</v>
      </c>
      <c r="G55">
        <v>1.083E-3</v>
      </c>
      <c r="H55">
        <v>7300000</v>
      </c>
      <c r="I55">
        <v>6600000000</v>
      </c>
      <c r="J55" t="s">
        <v>15</v>
      </c>
    </row>
    <row r="56" spans="1:10" x14ac:dyDescent="0.3">
      <c r="A56">
        <v>55</v>
      </c>
      <c r="B56" t="s">
        <v>72</v>
      </c>
      <c r="C56">
        <v>78</v>
      </c>
      <c r="D56">
        <v>2900</v>
      </c>
      <c r="E56">
        <v>67700000</v>
      </c>
      <c r="F56">
        <v>67700000</v>
      </c>
      <c r="G56" s="1">
        <v>4.8999999999999998E-5</v>
      </c>
      <c r="H56">
        <v>325700</v>
      </c>
      <c r="I56">
        <v>2600000000</v>
      </c>
      <c r="J56" t="s">
        <v>34</v>
      </c>
    </row>
    <row r="57" spans="1:10" x14ac:dyDescent="0.3">
      <c r="A57">
        <v>56</v>
      </c>
      <c r="B57" t="s">
        <v>73</v>
      </c>
      <c r="C57">
        <v>87</v>
      </c>
      <c r="D57">
        <v>340</v>
      </c>
      <c r="E57">
        <v>67300000</v>
      </c>
      <c r="F57">
        <v>67300000</v>
      </c>
      <c r="G57" s="1">
        <v>9.9999999999999995E-7</v>
      </c>
      <c r="H57">
        <v>0</v>
      </c>
      <c r="I57">
        <v>639000000</v>
      </c>
      <c r="J57" t="s">
        <v>13</v>
      </c>
    </row>
    <row r="58" spans="1:10" x14ac:dyDescent="0.3">
      <c r="A58">
        <v>57</v>
      </c>
      <c r="B58" t="s">
        <v>74</v>
      </c>
      <c r="C58">
        <v>78</v>
      </c>
      <c r="D58">
        <v>1200</v>
      </c>
      <c r="E58">
        <v>66900000</v>
      </c>
      <c r="F58">
        <v>66900000</v>
      </c>
      <c r="G58">
        <v>5.4000000000000001E-4</v>
      </c>
      <c r="H58">
        <v>3600000</v>
      </c>
      <c r="I58">
        <v>4900000000</v>
      </c>
      <c r="J58" t="s">
        <v>75</v>
      </c>
    </row>
    <row r="59" spans="1:10" x14ac:dyDescent="0.3">
      <c r="A59">
        <v>58</v>
      </c>
      <c r="B59" t="s">
        <v>76</v>
      </c>
      <c r="C59">
        <v>85</v>
      </c>
      <c r="D59">
        <v>1000</v>
      </c>
      <c r="E59">
        <v>66300000</v>
      </c>
      <c r="F59">
        <v>66300000</v>
      </c>
      <c r="G59">
        <v>2.2499999999999999E-4</v>
      </c>
      <c r="H59">
        <v>1500000</v>
      </c>
      <c r="I59">
        <v>1700000000</v>
      </c>
      <c r="J59" t="s">
        <v>64</v>
      </c>
    </row>
    <row r="60" spans="1:10" x14ac:dyDescent="0.3">
      <c r="A60">
        <v>59</v>
      </c>
      <c r="B60" t="s">
        <v>77</v>
      </c>
      <c r="C60">
        <v>82</v>
      </c>
      <c r="D60">
        <v>7000</v>
      </c>
      <c r="E60">
        <v>66200000</v>
      </c>
      <c r="F60">
        <v>66200000</v>
      </c>
      <c r="G60" s="1">
        <v>5.1E-5</v>
      </c>
      <c r="H60">
        <v>339000</v>
      </c>
      <c r="I60">
        <v>2300000000</v>
      </c>
      <c r="J60" t="s">
        <v>78</v>
      </c>
    </row>
    <row r="61" spans="1:10" x14ac:dyDescent="0.3">
      <c r="A61">
        <v>60</v>
      </c>
      <c r="B61" t="s">
        <v>79</v>
      </c>
      <c r="C61">
        <v>87</v>
      </c>
      <c r="D61">
        <v>780</v>
      </c>
      <c r="E61">
        <v>65900000</v>
      </c>
      <c r="F61">
        <v>65900000</v>
      </c>
      <c r="G61" s="1">
        <v>3.0000000000000001E-5</v>
      </c>
      <c r="H61">
        <v>189400</v>
      </c>
      <c r="I61">
        <v>470700000</v>
      </c>
      <c r="J61" t="s">
        <v>13</v>
      </c>
    </row>
    <row r="62" spans="1:10" x14ac:dyDescent="0.3">
      <c r="A62">
        <v>61</v>
      </c>
      <c r="B62" t="s">
        <v>80</v>
      </c>
      <c r="C62">
        <v>77</v>
      </c>
      <c r="D62">
        <v>2900</v>
      </c>
      <c r="E62">
        <v>65000000</v>
      </c>
      <c r="F62">
        <v>65000000</v>
      </c>
      <c r="G62">
        <v>2.1900000000000001E-4</v>
      </c>
      <c r="H62">
        <v>1400000</v>
      </c>
      <c r="I62">
        <v>5400000000</v>
      </c>
      <c r="J62" t="s">
        <v>13</v>
      </c>
    </row>
    <row r="63" spans="1:10" x14ac:dyDescent="0.3">
      <c r="A63">
        <v>62</v>
      </c>
      <c r="B63" t="s">
        <v>81</v>
      </c>
      <c r="C63">
        <v>82</v>
      </c>
      <c r="D63">
        <v>1400</v>
      </c>
      <c r="E63">
        <v>63900000</v>
      </c>
      <c r="F63">
        <v>63900000</v>
      </c>
      <c r="G63" s="1">
        <v>1.9999999999999999E-6</v>
      </c>
      <c r="H63">
        <v>0</v>
      </c>
      <c r="I63">
        <v>1900000000</v>
      </c>
      <c r="J63" t="s">
        <v>13</v>
      </c>
    </row>
    <row r="64" spans="1:10" x14ac:dyDescent="0.3">
      <c r="A64">
        <v>63</v>
      </c>
      <c r="B64" t="s">
        <v>82</v>
      </c>
      <c r="C64">
        <v>83</v>
      </c>
      <c r="D64">
        <v>17500</v>
      </c>
      <c r="E64">
        <v>63500000</v>
      </c>
      <c r="F64">
        <v>63500000</v>
      </c>
      <c r="G64" s="1">
        <v>5.8E-5</v>
      </c>
      <c r="H64">
        <v>366600</v>
      </c>
      <c r="I64">
        <v>6800000000</v>
      </c>
      <c r="J64" t="s">
        <v>83</v>
      </c>
    </row>
    <row r="65" spans="1:10" x14ac:dyDescent="0.3">
      <c r="A65">
        <v>64</v>
      </c>
      <c r="B65" t="s">
        <v>84</v>
      </c>
      <c r="C65">
        <v>82</v>
      </c>
      <c r="D65">
        <v>5100</v>
      </c>
      <c r="E65">
        <v>63100000</v>
      </c>
      <c r="F65">
        <v>63100000</v>
      </c>
      <c r="G65" s="1">
        <v>6.8999999999999997E-5</v>
      </c>
      <c r="H65">
        <v>426200</v>
      </c>
      <c r="I65">
        <v>4400000000</v>
      </c>
      <c r="J65" t="s">
        <v>13</v>
      </c>
    </row>
    <row r="66" spans="1:10" x14ac:dyDescent="0.3">
      <c r="A66">
        <v>65</v>
      </c>
      <c r="B66" t="s">
        <v>85</v>
      </c>
      <c r="C66">
        <v>82</v>
      </c>
      <c r="D66">
        <v>830</v>
      </c>
      <c r="E66">
        <v>62900000</v>
      </c>
      <c r="F66">
        <v>62900000</v>
      </c>
      <c r="G66">
        <v>9.4300000000000004E-4</v>
      </c>
      <c r="H66">
        <v>5900000</v>
      </c>
      <c r="I66">
        <v>3800000000</v>
      </c>
      <c r="J66" t="s">
        <v>15</v>
      </c>
    </row>
    <row r="67" spans="1:10" x14ac:dyDescent="0.3">
      <c r="A67">
        <v>66</v>
      </c>
      <c r="B67" t="s">
        <v>86</v>
      </c>
      <c r="C67">
        <v>84</v>
      </c>
      <c r="D67">
        <v>8200</v>
      </c>
      <c r="E67">
        <v>62800000</v>
      </c>
      <c r="F67">
        <v>62800000</v>
      </c>
      <c r="G67">
        <v>1.12E-4</v>
      </c>
      <c r="H67">
        <v>696300</v>
      </c>
      <c r="I67">
        <v>9800000000</v>
      </c>
      <c r="J67" t="s">
        <v>87</v>
      </c>
    </row>
    <row r="68" spans="1:10" x14ac:dyDescent="0.3">
      <c r="A68">
        <v>67</v>
      </c>
      <c r="B68" t="s">
        <v>88</v>
      </c>
      <c r="C68">
        <v>85</v>
      </c>
      <c r="D68">
        <v>1900</v>
      </c>
      <c r="E68">
        <v>62800000</v>
      </c>
      <c r="F68">
        <v>62800000</v>
      </c>
      <c r="G68">
        <v>1.01E-4</v>
      </c>
      <c r="H68">
        <v>624900</v>
      </c>
      <c r="I68">
        <v>2900000000</v>
      </c>
      <c r="J68" t="s">
        <v>15</v>
      </c>
    </row>
    <row r="69" spans="1:10" x14ac:dyDescent="0.3">
      <c r="A69">
        <v>68</v>
      </c>
      <c r="B69" t="s">
        <v>89</v>
      </c>
      <c r="C69">
        <v>85</v>
      </c>
      <c r="D69">
        <v>2400</v>
      </c>
      <c r="E69">
        <v>62700000</v>
      </c>
      <c r="F69">
        <v>62700000</v>
      </c>
      <c r="G69">
        <v>1.15E-4</v>
      </c>
      <c r="H69">
        <v>718800</v>
      </c>
      <c r="I69">
        <v>2800000000</v>
      </c>
      <c r="J69" t="s">
        <v>64</v>
      </c>
    </row>
    <row r="70" spans="1:10" x14ac:dyDescent="0.3">
      <c r="A70">
        <v>69</v>
      </c>
      <c r="B70" t="s">
        <v>90</v>
      </c>
      <c r="C70">
        <v>86</v>
      </c>
      <c r="D70">
        <v>10000</v>
      </c>
      <c r="E70">
        <v>61900000</v>
      </c>
      <c r="F70">
        <v>61900000</v>
      </c>
      <c r="G70" s="1">
        <v>5.1999999999999997E-5</v>
      </c>
      <c r="H70">
        <v>322200</v>
      </c>
      <c r="I70">
        <v>5000000000</v>
      </c>
      <c r="J70" t="s">
        <v>91</v>
      </c>
    </row>
    <row r="71" spans="1:10" x14ac:dyDescent="0.3">
      <c r="A71">
        <v>70</v>
      </c>
      <c r="B71" t="s">
        <v>92</v>
      </c>
      <c r="C71">
        <v>82</v>
      </c>
      <c r="D71">
        <v>820</v>
      </c>
      <c r="E71">
        <v>61800000</v>
      </c>
      <c r="F71">
        <v>61800000</v>
      </c>
      <c r="G71">
        <v>9.7199999999999999E-4</v>
      </c>
      <c r="H71">
        <v>6000000</v>
      </c>
      <c r="I71">
        <v>3800000000</v>
      </c>
      <c r="J71" t="s">
        <v>15</v>
      </c>
    </row>
    <row r="72" spans="1:10" x14ac:dyDescent="0.3">
      <c r="A72">
        <v>71</v>
      </c>
      <c r="B72" t="s">
        <v>93</v>
      </c>
      <c r="C72">
        <v>85</v>
      </c>
      <c r="D72">
        <v>9900</v>
      </c>
      <c r="E72">
        <v>59600000</v>
      </c>
      <c r="F72">
        <v>59600000</v>
      </c>
      <c r="G72" s="1">
        <v>4.1E-5</v>
      </c>
      <c r="H72">
        <v>241600</v>
      </c>
      <c r="I72">
        <v>3800000000</v>
      </c>
      <c r="J72" t="s">
        <v>50</v>
      </c>
    </row>
    <row r="73" spans="1:10" x14ac:dyDescent="0.3">
      <c r="A73">
        <v>72</v>
      </c>
      <c r="B73" t="s">
        <v>94</v>
      </c>
      <c r="C73">
        <v>85</v>
      </c>
      <c r="D73">
        <v>1200</v>
      </c>
      <c r="E73">
        <v>59500000</v>
      </c>
      <c r="F73">
        <v>59500000</v>
      </c>
      <c r="G73">
        <v>2.34E-4</v>
      </c>
      <c r="H73">
        <v>1400000</v>
      </c>
      <c r="I73">
        <v>2200000000</v>
      </c>
      <c r="J73" t="s">
        <v>15</v>
      </c>
    </row>
    <row r="74" spans="1:10" x14ac:dyDescent="0.3">
      <c r="A74">
        <v>73</v>
      </c>
      <c r="B74" t="s">
        <v>95</v>
      </c>
      <c r="C74">
        <v>79</v>
      </c>
      <c r="D74">
        <v>2700</v>
      </c>
      <c r="E74">
        <v>58700000</v>
      </c>
      <c r="F74">
        <v>58700000</v>
      </c>
      <c r="G74" s="1">
        <v>5.8E-5</v>
      </c>
      <c r="H74">
        <v>323100</v>
      </c>
      <c r="I74">
        <v>4400000000</v>
      </c>
      <c r="J74" t="s">
        <v>34</v>
      </c>
    </row>
    <row r="75" spans="1:10" x14ac:dyDescent="0.3">
      <c r="A75">
        <v>74</v>
      </c>
      <c r="B75" t="s">
        <v>96</v>
      </c>
      <c r="C75">
        <v>86</v>
      </c>
      <c r="D75">
        <v>10000</v>
      </c>
      <c r="E75">
        <v>58100000</v>
      </c>
      <c r="F75">
        <v>58100000</v>
      </c>
      <c r="G75" s="1">
        <v>4.3999999999999999E-5</v>
      </c>
      <c r="H75">
        <v>248600</v>
      </c>
      <c r="I75">
        <v>6700000000</v>
      </c>
      <c r="J75" t="s">
        <v>13</v>
      </c>
    </row>
    <row r="76" spans="1:10" x14ac:dyDescent="0.3">
      <c r="A76">
        <v>75</v>
      </c>
      <c r="B76" t="s">
        <v>97</v>
      </c>
      <c r="C76">
        <v>86</v>
      </c>
      <c r="D76">
        <v>2700</v>
      </c>
      <c r="E76">
        <v>58100000</v>
      </c>
      <c r="F76">
        <v>58100000</v>
      </c>
      <c r="G76" s="1">
        <v>7.7999999999999999E-5</v>
      </c>
      <c r="H76">
        <v>448300</v>
      </c>
      <c r="I76">
        <v>1900000000</v>
      </c>
      <c r="J76" t="s">
        <v>34</v>
      </c>
    </row>
    <row r="77" spans="1:10" x14ac:dyDescent="0.3">
      <c r="A77">
        <v>76</v>
      </c>
      <c r="B77" t="s">
        <v>98</v>
      </c>
      <c r="C77">
        <v>80</v>
      </c>
      <c r="D77">
        <v>280</v>
      </c>
      <c r="E77">
        <v>57600000</v>
      </c>
      <c r="F77">
        <v>57600000</v>
      </c>
      <c r="G77">
        <v>8.6300000000000005E-4</v>
      </c>
      <c r="H77">
        <v>5000000</v>
      </c>
      <c r="I77">
        <v>1100000000</v>
      </c>
      <c r="J77" t="s">
        <v>13</v>
      </c>
    </row>
    <row r="78" spans="1:10" x14ac:dyDescent="0.3">
      <c r="A78">
        <v>77</v>
      </c>
      <c r="B78" t="s">
        <v>99</v>
      </c>
      <c r="C78">
        <v>42</v>
      </c>
      <c r="D78">
        <v>2000</v>
      </c>
      <c r="E78">
        <v>56900000</v>
      </c>
      <c r="F78">
        <v>56900000</v>
      </c>
      <c r="G78">
        <v>1.6200000000000001E-4</v>
      </c>
      <c r="H78">
        <v>918900</v>
      </c>
      <c r="I78">
        <v>1800000000</v>
      </c>
      <c r="J78" t="s">
        <v>11</v>
      </c>
    </row>
    <row r="79" spans="1:10" x14ac:dyDescent="0.3">
      <c r="A79">
        <v>78</v>
      </c>
      <c r="B79" t="s">
        <v>100</v>
      </c>
      <c r="C79">
        <v>86</v>
      </c>
      <c r="D79">
        <v>880</v>
      </c>
      <c r="E79">
        <v>55900000</v>
      </c>
      <c r="F79">
        <v>55900000</v>
      </c>
      <c r="G79">
        <v>3.6900000000000002E-4</v>
      </c>
      <c r="H79">
        <v>2100000</v>
      </c>
      <c r="I79">
        <v>2500000000</v>
      </c>
      <c r="J79" t="s">
        <v>101</v>
      </c>
    </row>
    <row r="80" spans="1:10" x14ac:dyDescent="0.3">
      <c r="A80">
        <v>79</v>
      </c>
      <c r="B80" t="s">
        <v>102</v>
      </c>
      <c r="C80">
        <v>83</v>
      </c>
      <c r="D80">
        <v>3300</v>
      </c>
      <c r="E80">
        <v>55600000</v>
      </c>
      <c r="F80">
        <v>55600000</v>
      </c>
      <c r="G80">
        <v>1.0250000000000001E-3</v>
      </c>
      <c r="H80">
        <v>5700000</v>
      </c>
      <c r="I80">
        <v>10100000000</v>
      </c>
      <c r="J80" t="s">
        <v>64</v>
      </c>
    </row>
    <row r="81" spans="1:10" x14ac:dyDescent="0.3">
      <c r="A81">
        <v>80</v>
      </c>
      <c r="B81" t="s">
        <v>103</v>
      </c>
      <c r="C81">
        <v>80</v>
      </c>
      <c r="D81">
        <v>1300</v>
      </c>
      <c r="E81">
        <v>55200000</v>
      </c>
      <c r="F81">
        <v>55200000</v>
      </c>
      <c r="G81" s="1">
        <v>8.5000000000000006E-5</v>
      </c>
      <c r="H81">
        <v>462600</v>
      </c>
      <c r="I81">
        <v>1800000000</v>
      </c>
      <c r="J81" t="s">
        <v>91</v>
      </c>
    </row>
    <row r="82" spans="1:10" x14ac:dyDescent="0.3">
      <c r="A82">
        <v>81</v>
      </c>
      <c r="B82" t="s">
        <v>104</v>
      </c>
      <c r="C82">
        <v>86</v>
      </c>
      <c r="D82">
        <v>870</v>
      </c>
      <c r="E82">
        <v>55100000</v>
      </c>
      <c r="F82">
        <v>55100000</v>
      </c>
      <c r="G82">
        <v>1.5300000000000001E-4</v>
      </c>
      <c r="H82">
        <v>837100</v>
      </c>
      <c r="I82">
        <v>1300000000</v>
      </c>
      <c r="J82" t="s">
        <v>15</v>
      </c>
    </row>
    <row r="83" spans="1:10" x14ac:dyDescent="0.3">
      <c r="A83">
        <v>82</v>
      </c>
      <c r="B83" t="s">
        <v>105</v>
      </c>
      <c r="C83">
        <v>86</v>
      </c>
      <c r="D83">
        <v>1700</v>
      </c>
      <c r="E83">
        <v>54600000</v>
      </c>
      <c r="F83">
        <v>54600000</v>
      </c>
      <c r="G83" s="1">
        <v>2.0000000000000002E-5</v>
      </c>
      <c r="H83">
        <v>107600</v>
      </c>
      <c r="I83">
        <v>669300000</v>
      </c>
      <c r="J83" t="s">
        <v>15</v>
      </c>
    </row>
    <row r="84" spans="1:10" x14ac:dyDescent="0.3">
      <c r="A84">
        <v>83</v>
      </c>
      <c r="B84" t="s">
        <v>106</v>
      </c>
      <c r="C84">
        <v>87</v>
      </c>
      <c r="D84">
        <v>10000</v>
      </c>
      <c r="E84">
        <v>54500000</v>
      </c>
      <c r="F84">
        <v>54500000</v>
      </c>
      <c r="G84" s="1">
        <v>2.5000000000000001E-5</v>
      </c>
      <c r="H84">
        <v>135500</v>
      </c>
      <c r="I84">
        <v>1900000000</v>
      </c>
      <c r="J84" t="s">
        <v>15</v>
      </c>
    </row>
    <row r="85" spans="1:10" x14ac:dyDescent="0.3">
      <c r="A85">
        <v>84</v>
      </c>
      <c r="B85" t="s">
        <v>107</v>
      </c>
      <c r="C85">
        <v>86</v>
      </c>
      <c r="D85">
        <v>660</v>
      </c>
      <c r="E85">
        <v>54500000</v>
      </c>
      <c r="F85">
        <v>54500000</v>
      </c>
      <c r="G85">
        <v>8.1800000000000004E-4</v>
      </c>
      <c r="H85">
        <v>4400000</v>
      </c>
      <c r="I85">
        <v>1500000000</v>
      </c>
      <c r="J85" t="s">
        <v>13</v>
      </c>
    </row>
    <row r="86" spans="1:10" x14ac:dyDescent="0.3">
      <c r="A86">
        <v>85</v>
      </c>
      <c r="B86" t="s">
        <v>108</v>
      </c>
      <c r="C86">
        <v>79</v>
      </c>
      <c r="D86">
        <v>3200</v>
      </c>
      <c r="E86">
        <v>54100000</v>
      </c>
      <c r="F86">
        <v>54100000</v>
      </c>
      <c r="G86">
        <v>2.0599999999999999E-4</v>
      </c>
      <c r="H86">
        <v>1100000</v>
      </c>
      <c r="I86">
        <v>3600000000</v>
      </c>
      <c r="J86" t="s">
        <v>50</v>
      </c>
    </row>
    <row r="87" spans="1:10" x14ac:dyDescent="0.3">
      <c r="A87">
        <v>86</v>
      </c>
      <c r="B87" t="s">
        <v>109</v>
      </c>
      <c r="C87">
        <v>86</v>
      </c>
      <c r="D87">
        <v>5600</v>
      </c>
      <c r="E87">
        <v>53900000</v>
      </c>
      <c r="F87">
        <v>53900000</v>
      </c>
      <c r="G87" s="1">
        <v>5.1E-5</v>
      </c>
      <c r="H87">
        <v>266500</v>
      </c>
      <c r="I87">
        <v>5400000000</v>
      </c>
      <c r="J87" t="s">
        <v>34</v>
      </c>
    </row>
    <row r="88" spans="1:10" x14ac:dyDescent="0.3">
      <c r="A88">
        <v>87</v>
      </c>
      <c r="B88" t="s">
        <v>110</v>
      </c>
      <c r="C88">
        <v>76</v>
      </c>
      <c r="D88">
        <v>1200</v>
      </c>
      <c r="E88">
        <v>53500000</v>
      </c>
      <c r="F88">
        <v>53500000</v>
      </c>
      <c r="G88">
        <v>1.3300000000000001E-4</v>
      </c>
      <c r="H88">
        <v>693900</v>
      </c>
      <c r="I88">
        <v>1600000000</v>
      </c>
      <c r="J88" t="s">
        <v>64</v>
      </c>
    </row>
    <row r="89" spans="1:10" x14ac:dyDescent="0.3">
      <c r="A89">
        <v>88</v>
      </c>
      <c r="B89" t="s">
        <v>111</v>
      </c>
      <c r="C89">
        <v>86</v>
      </c>
      <c r="D89">
        <v>420</v>
      </c>
      <c r="E89">
        <v>53400000</v>
      </c>
      <c r="F89">
        <v>53400000</v>
      </c>
      <c r="G89">
        <v>2.05E-4</v>
      </c>
      <c r="H89">
        <v>1100000</v>
      </c>
      <c r="I89">
        <v>1300000000</v>
      </c>
      <c r="J89" t="s">
        <v>13</v>
      </c>
    </row>
    <row r="90" spans="1:10" x14ac:dyDescent="0.3">
      <c r="A90">
        <v>89</v>
      </c>
      <c r="B90" t="s">
        <v>112</v>
      </c>
      <c r="C90">
        <v>84</v>
      </c>
      <c r="D90">
        <v>4600</v>
      </c>
      <c r="E90">
        <v>53400000</v>
      </c>
      <c r="F90">
        <v>53400000</v>
      </c>
      <c r="G90" s="1">
        <v>5.7000000000000003E-5</v>
      </c>
      <c r="H90">
        <v>301300</v>
      </c>
      <c r="I90">
        <v>3500000000</v>
      </c>
      <c r="J90" t="s">
        <v>15</v>
      </c>
    </row>
    <row r="91" spans="1:10" x14ac:dyDescent="0.3">
      <c r="A91">
        <v>90</v>
      </c>
      <c r="B91" t="s">
        <v>113</v>
      </c>
      <c r="C91">
        <v>83</v>
      </c>
      <c r="D91">
        <v>3600</v>
      </c>
      <c r="E91">
        <v>53200000</v>
      </c>
      <c r="F91">
        <v>53200000</v>
      </c>
      <c r="G91">
        <v>1.02E-4</v>
      </c>
      <c r="H91">
        <v>531600</v>
      </c>
      <c r="I91">
        <v>5100000000</v>
      </c>
      <c r="J91" t="s">
        <v>13</v>
      </c>
    </row>
    <row r="92" spans="1:10" x14ac:dyDescent="0.3">
      <c r="A92">
        <v>91</v>
      </c>
      <c r="B92" t="s">
        <v>114</v>
      </c>
      <c r="C92">
        <v>74</v>
      </c>
      <c r="D92">
        <v>2100</v>
      </c>
      <c r="E92">
        <v>53000000</v>
      </c>
      <c r="F92">
        <v>53000000</v>
      </c>
      <c r="G92">
        <v>1.85E-4</v>
      </c>
      <c r="H92">
        <v>971700</v>
      </c>
      <c r="I92">
        <v>3400000000</v>
      </c>
      <c r="J92" t="s">
        <v>13</v>
      </c>
    </row>
    <row r="93" spans="1:10" x14ac:dyDescent="0.3">
      <c r="A93">
        <v>92</v>
      </c>
      <c r="B93" t="s">
        <v>115</v>
      </c>
      <c r="C93">
        <v>87</v>
      </c>
      <c r="D93">
        <v>2200</v>
      </c>
      <c r="E93">
        <v>52800000</v>
      </c>
      <c r="F93">
        <v>52800000</v>
      </c>
      <c r="G93">
        <v>1.06E-4</v>
      </c>
      <c r="H93">
        <v>557900</v>
      </c>
      <c r="I93">
        <v>2500000000</v>
      </c>
      <c r="J93" t="s">
        <v>15</v>
      </c>
    </row>
    <row r="94" spans="1:10" x14ac:dyDescent="0.3">
      <c r="A94">
        <v>93</v>
      </c>
      <c r="B94" t="s">
        <v>116</v>
      </c>
      <c r="C94">
        <v>87</v>
      </c>
      <c r="D94">
        <v>10000</v>
      </c>
      <c r="E94">
        <v>52800000</v>
      </c>
      <c r="F94">
        <v>52800000</v>
      </c>
      <c r="G94" s="1">
        <v>6.6000000000000005E-5</v>
      </c>
      <c r="H94">
        <v>340500</v>
      </c>
      <c r="I94">
        <v>8800000000</v>
      </c>
      <c r="J94" t="s">
        <v>15</v>
      </c>
    </row>
    <row r="95" spans="1:10" x14ac:dyDescent="0.3">
      <c r="A95">
        <v>94</v>
      </c>
      <c r="B95" t="s">
        <v>117</v>
      </c>
      <c r="C95">
        <v>22</v>
      </c>
      <c r="D95">
        <v>840</v>
      </c>
      <c r="E95">
        <v>52500000</v>
      </c>
      <c r="F95">
        <v>52500000</v>
      </c>
      <c r="G95">
        <v>2.1800000000000001E-4</v>
      </c>
      <c r="H95">
        <v>1100000</v>
      </c>
      <c r="I95">
        <v>1500000000</v>
      </c>
      <c r="J95" t="s">
        <v>15</v>
      </c>
    </row>
    <row r="96" spans="1:10" x14ac:dyDescent="0.3">
      <c r="A96">
        <v>95</v>
      </c>
      <c r="B96" t="s">
        <v>118</v>
      </c>
      <c r="C96">
        <v>85</v>
      </c>
      <c r="D96">
        <v>10000</v>
      </c>
      <c r="E96">
        <v>52400000</v>
      </c>
      <c r="F96">
        <v>52400000</v>
      </c>
      <c r="G96" s="1">
        <v>1.1E-5</v>
      </c>
      <c r="H96">
        <v>56300</v>
      </c>
      <c r="I96">
        <v>1500000000</v>
      </c>
      <c r="J96" t="s">
        <v>83</v>
      </c>
    </row>
    <row r="97" spans="1:10" x14ac:dyDescent="0.3">
      <c r="A97">
        <v>96</v>
      </c>
      <c r="B97">
        <v>433</v>
      </c>
      <c r="C97">
        <v>79</v>
      </c>
      <c r="D97">
        <v>10300</v>
      </c>
      <c r="E97">
        <v>51200000</v>
      </c>
      <c r="F97">
        <v>51200000</v>
      </c>
      <c r="G97">
        <v>1.5200000000000001E-4</v>
      </c>
      <c r="H97">
        <v>774200</v>
      </c>
      <c r="I97">
        <v>8900000000</v>
      </c>
      <c r="J97" t="s">
        <v>45</v>
      </c>
    </row>
    <row r="98" spans="1:10" x14ac:dyDescent="0.3">
      <c r="A98">
        <v>97</v>
      </c>
      <c r="B98" t="s">
        <v>119</v>
      </c>
      <c r="C98">
        <v>82</v>
      </c>
      <c r="D98">
        <v>2400</v>
      </c>
      <c r="E98">
        <v>50800000</v>
      </c>
      <c r="F98">
        <v>50800000</v>
      </c>
      <c r="G98" s="1">
        <v>3.9999999999999998E-6</v>
      </c>
      <c r="H98">
        <v>16800</v>
      </c>
      <c r="I98">
        <v>453600000</v>
      </c>
      <c r="J98" t="s">
        <v>13</v>
      </c>
    </row>
    <row r="99" spans="1:10" x14ac:dyDescent="0.3">
      <c r="A99">
        <v>98</v>
      </c>
      <c r="B99" t="s">
        <v>120</v>
      </c>
      <c r="C99">
        <v>84</v>
      </c>
      <c r="D99">
        <v>420</v>
      </c>
      <c r="E99">
        <v>50700000</v>
      </c>
      <c r="F99">
        <v>50700000</v>
      </c>
      <c r="G99">
        <v>3.8200000000000002E-4</v>
      </c>
      <c r="H99">
        <v>1900000</v>
      </c>
      <c r="I99">
        <v>2000000000</v>
      </c>
      <c r="J99" t="s">
        <v>13</v>
      </c>
    </row>
    <row r="100" spans="1:10" x14ac:dyDescent="0.3">
      <c r="A100">
        <v>99</v>
      </c>
      <c r="B100" t="s">
        <v>121</v>
      </c>
      <c r="C100">
        <v>85</v>
      </c>
      <c r="D100">
        <v>600</v>
      </c>
      <c r="E100">
        <v>50700000</v>
      </c>
      <c r="F100">
        <v>50700000</v>
      </c>
      <c r="G100">
        <v>1.22E-4</v>
      </c>
      <c r="H100">
        <v>611200</v>
      </c>
      <c r="I100">
        <v>421700000</v>
      </c>
      <c r="J100" t="s">
        <v>15</v>
      </c>
    </row>
    <row r="101" spans="1:10" x14ac:dyDescent="0.3">
      <c r="A101">
        <v>100</v>
      </c>
      <c r="B101" t="s">
        <v>122</v>
      </c>
      <c r="C101">
        <v>76</v>
      </c>
      <c r="D101">
        <v>2700</v>
      </c>
      <c r="E101">
        <v>50200000</v>
      </c>
      <c r="F101">
        <v>50200000</v>
      </c>
      <c r="G101">
        <v>1.21E-4</v>
      </c>
      <c r="H101">
        <v>604400</v>
      </c>
      <c r="I101">
        <v>2400000000</v>
      </c>
      <c r="J101" t="s">
        <v>64</v>
      </c>
    </row>
    <row r="102" spans="1:10" x14ac:dyDescent="0.3">
      <c r="A102">
        <v>101</v>
      </c>
      <c r="B102" t="s">
        <v>123</v>
      </c>
      <c r="C102">
        <v>86</v>
      </c>
      <c r="D102">
        <v>1100</v>
      </c>
      <c r="E102">
        <v>49900000</v>
      </c>
      <c r="F102">
        <v>49900000</v>
      </c>
      <c r="G102" s="1">
        <v>7.4999999999999993E-5</v>
      </c>
      <c r="H102">
        <v>363900</v>
      </c>
      <c r="I102">
        <v>1500000000</v>
      </c>
      <c r="J102" t="s">
        <v>87</v>
      </c>
    </row>
    <row r="103" spans="1:10" x14ac:dyDescent="0.3">
      <c r="A103">
        <v>102</v>
      </c>
      <c r="B103" t="s">
        <v>124</v>
      </c>
      <c r="C103">
        <v>80</v>
      </c>
      <c r="D103">
        <v>6400</v>
      </c>
      <c r="E103">
        <v>49700000</v>
      </c>
      <c r="F103">
        <v>49700000</v>
      </c>
      <c r="G103" s="1">
        <v>9.1000000000000003E-5</v>
      </c>
      <c r="H103">
        <v>452900</v>
      </c>
      <c r="I103">
        <v>2300000000</v>
      </c>
      <c r="J103" t="s">
        <v>13</v>
      </c>
    </row>
    <row r="104" spans="1:10" x14ac:dyDescent="0.3">
      <c r="A104">
        <v>103</v>
      </c>
      <c r="B104" t="s">
        <v>125</v>
      </c>
      <c r="C104">
        <v>83</v>
      </c>
      <c r="D104">
        <v>60</v>
      </c>
      <c r="E104">
        <v>49300000</v>
      </c>
      <c r="F104">
        <v>49300000</v>
      </c>
      <c r="G104">
        <v>2.5799999999999998E-3</v>
      </c>
      <c r="H104">
        <v>12600000</v>
      </c>
      <c r="I104">
        <v>987400000</v>
      </c>
      <c r="J104" t="s">
        <v>15</v>
      </c>
    </row>
    <row r="105" spans="1:10" x14ac:dyDescent="0.3">
      <c r="A105">
        <v>104</v>
      </c>
      <c r="B105" t="s">
        <v>126</v>
      </c>
      <c r="C105">
        <v>81</v>
      </c>
      <c r="D105">
        <v>2500</v>
      </c>
      <c r="E105">
        <v>49200000</v>
      </c>
      <c r="F105">
        <v>49200000</v>
      </c>
      <c r="G105">
        <v>3.5500000000000001E-4</v>
      </c>
      <c r="H105">
        <v>1700000</v>
      </c>
      <c r="I105">
        <v>6100000000</v>
      </c>
      <c r="J105" t="s">
        <v>13</v>
      </c>
    </row>
    <row r="106" spans="1:10" x14ac:dyDescent="0.3">
      <c r="A106">
        <v>105</v>
      </c>
      <c r="B106" t="s">
        <v>127</v>
      </c>
      <c r="C106">
        <v>80</v>
      </c>
      <c r="D106">
        <v>150</v>
      </c>
      <c r="E106">
        <v>49100000</v>
      </c>
      <c r="F106">
        <v>49100000</v>
      </c>
      <c r="G106">
        <v>3.28E-4</v>
      </c>
      <c r="H106">
        <v>1600000</v>
      </c>
      <c r="I106">
        <v>654400000</v>
      </c>
      <c r="J106" t="s">
        <v>15</v>
      </c>
    </row>
    <row r="107" spans="1:10" x14ac:dyDescent="0.3">
      <c r="A107">
        <v>106</v>
      </c>
      <c r="B107" t="s">
        <v>128</v>
      </c>
      <c r="C107">
        <v>86</v>
      </c>
      <c r="D107">
        <v>8900</v>
      </c>
      <c r="E107">
        <v>49000000</v>
      </c>
      <c r="F107">
        <v>49000000</v>
      </c>
      <c r="G107" s="1">
        <v>1.5E-5</v>
      </c>
      <c r="H107">
        <v>72400</v>
      </c>
      <c r="I107">
        <v>1000000000</v>
      </c>
      <c r="J107" t="s">
        <v>129</v>
      </c>
    </row>
    <row r="108" spans="1:10" x14ac:dyDescent="0.3">
      <c r="A108">
        <v>107</v>
      </c>
      <c r="B108" t="s">
        <v>130</v>
      </c>
      <c r="C108">
        <v>84</v>
      </c>
      <c r="D108">
        <v>6500</v>
      </c>
      <c r="E108">
        <v>48900000</v>
      </c>
      <c r="F108">
        <v>48900000</v>
      </c>
      <c r="G108" s="1">
        <v>2.6999999999999999E-5</v>
      </c>
      <c r="H108">
        <v>131800</v>
      </c>
      <c r="I108">
        <v>2400000000</v>
      </c>
      <c r="J108" t="s">
        <v>83</v>
      </c>
    </row>
    <row r="109" spans="1:10" x14ac:dyDescent="0.3">
      <c r="A109">
        <v>108</v>
      </c>
      <c r="B109" t="s">
        <v>131</v>
      </c>
      <c r="C109">
        <v>82</v>
      </c>
      <c r="D109">
        <v>6500</v>
      </c>
      <c r="E109">
        <v>48700000</v>
      </c>
      <c r="F109">
        <v>48700000</v>
      </c>
      <c r="G109" s="1">
        <v>7.9999999999999996E-6</v>
      </c>
      <c r="H109">
        <v>40500</v>
      </c>
      <c r="I109">
        <v>824000000</v>
      </c>
      <c r="J109" t="s">
        <v>91</v>
      </c>
    </row>
    <row r="110" spans="1:10" x14ac:dyDescent="0.3">
      <c r="A110">
        <v>109</v>
      </c>
      <c r="B110" t="s">
        <v>132</v>
      </c>
      <c r="C110">
        <v>85</v>
      </c>
      <c r="D110">
        <v>1300</v>
      </c>
      <c r="E110">
        <v>48300000</v>
      </c>
      <c r="F110">
        <v>48300000</v>
      </c>
      <c r="G110">
        <v>2.8800000000000001E-4</v>
      </c>
      <c r="H110">
        <v>1400000</v>
      </c>
      <c r="I110">
        <v>2300000000</v>
      </c>
      <c r="J110" t="s">
        <v>15</v>
      </c>
    </row>
    <row r="111" spans="1:10" x14ac:dyDescent="0.3">
      <c r="A111">
        <v>110</v>
      </c>
      <c r="B111" t="s">
        <v>133</v>
      </c>
      <c r="C111">
        <v>85</v>
      </c>
      <c r="D111">
        <v>1400</v>
      </c>
      <c r="E111">
        <v>48200000</v>
      </c>
      <c r="F111">
        <v>48200000</v>
      </c>
      <c r="G111">
        <v>2.7700000000000001E-4</v>
      </c>
      <c r="H111">
        <v>1300000</v>
      </c>
      <c r="I111">
        <v>3000000000</v>
      </c>
      <c r="J111" t="s">
        <v>15</v>
      </c>
    </row>
    <row r="112" spans="1:10" x14ac:dyDescent="0.3">
      <c r="A112">
        <v>111</v>
      </c>
      <c r="B112" t="s">
        <v>134</v>
      </c>
      <c r="C112">
        <v>85</v>
      </c>
      <c r="D112">
        <v>170</v>
      </c>
      <c r="E112">
        <v>48200000</v>
      </c>
      <c r="F112">
        <v>48200000</v>
      </c>
      <c r="G112">
        <v>1.75E-4</v>
      </c>
      <c r="H112">
        <v>841400</v>
      </c>
      <c r="I112">
        <v>283000000</v>
      </c>
      <c r="J112" t="s">
        <v>13</v>
      </c>
    </row>
    <row r="113" spans="1:10" x14ac:dyDescent="0.3">
      <c r="A113">
        <v>112</v>
      </c>
      <c r="B113" t="s">
        <v>135</v>
      </c>
      <c r="C113">
        <v>86</v>
      </c>
      <c r="D113">
        <v>980</v>
      </c>
      <c r="E113">
        <v>48100000</v>
      </c>
      <c r="F113">
        <v>48100000</v>
      </c>
      <c r="G113">
        <v>1.4300000000000001E-4</v>
      </c>
      <c r="H113">
        <v>681300</v>
      </c>
      <c r="I113">
        <v>753100000</v>
      </c>
      <c r="J113" t="s">
        <v>15</v>
      </c>
    </row>
    <row r="114" spans="1:10" x14ac:dyDescent="0.3">
      <c r="A114">
        <v>113</v>
      </c>
      <c r="B114" t="s">
        <v>136</v>
      </c>
      <c r="C114">
        <v>85</v>
      </c>
      <c r="D114">
        <v>3500</v>
      </c>
      <c r="E114">
        <v>47700000</v>
      </c>
      <c r="F114">
        <v>47700000</v>
      </c>
      <c r="G114" s="1">
        <v>4.1E-5</v>
      </c>
      <c r="H114">
        <v>189600</v>
      </c>
      <c r="I114">
        <v>1600000000</v>
      </c>
      <c r="J114" t="s">
        <v>15</v>
      </c>
    </row>
    <row r="115" spans="1:10" x14ac:dyDescent="0.3">
      <c r="A115">
        <v>114</v>
      </c>
      <c r="B115" t="s">
        <v>137</v>
      </c>
      <c r="C115">
        <v>81</v>
      </c>
      <c r="D115">
        <v>2300</v>
      </c>
      <c r="E115">
        <v>47300000</v>
      </c>
      <c r="F115">
        <v>47300000</v>
      </c>
      <c r="G115" s="1">
        <v>2.9E-5</v>
      </c>
      <c r="H115">
        <v>133000</v>
      </c>
      <c r="I115">
        <v>1700000000</v>
      </c>
      <c r="J115" t="s">
        <v>138</v>
      </c>
    </row>
    <row r="116" spans="1:10" x14ac:dyDescent="0.3">
      <c r="A116">
        <v>115</v>
      </c>
      <c r="B116" t="s">
        <v>139</v>
      </c>
      <c r="C116">
        <v>57</v>
      </c>
      <c r="D116">
        <v>590</v>
      </c>
      <c r="E116">
        <v>46900000</v>
      </c>
      <c r="F116">
        <v>46900000</v>
      </c>
      <c r="G116">
        <v>6.38E-4</v>
      </c>
      <c r="H116">
        <v>2900000</v>
      </c>
      <c r="I116">
        <v>2800000000</v>
      </c>
      <c r="J116" t="s">
        <v>13</v>
      </c>
    </row>
    <row r="117" spans="1:10" x14ac:dyDescent="0.3">
      <c r="A117">
        <v>116</v>
      </c>
      <c r="B117" t="s">
        <v>140</v>
      </c>
      <c r="C117">
        <v>85</v>
      </c>
      <c r="D117">
        <v>2100</v>
      </c>
      <c r="E117">
        <v>46900000</v>
      </c>
      <c r="F117">
        <v>46900000</v>
      </c>
      <c r="G117">
        <v>3.4699999999999998E-4</v>
      </c>
      <c r="H117">
        <v>1600000</v>
      </c>
      <c r="I117">
        <v>4200000000</v>
      </c>
      <c r="J117" t="s">
        <v>15</v>
      </c>
    </row>
    <row r="118" spans="1:10" x14ac:dyDescent="0.3">
      <c r="A118">
        <v>117</v>
      </c>
      <c r="B118" t="s">
        <v>141</v>
      </c>
      <c r="C118">
        <v>84</v>
      </c>
      <c r="D118">
        <v>4200</v>
      </c>
      <c r="E118">
        <v>46800000</v>
      </c>
      <c r="F118">
        <v>46800000</v>
      </c>
      <c r="G118" s="1">
        <v>6.3E-5</v>
      </c>
      <c r="H118">
        <v>292900</v>
      </c>
      <c r="I118">
        <v>2700000000</v>
      </c>
      <c r="J118" t="s">
        <v>13</v>
      </c>
    </row>
    <row r="119" spans="1:10" x14ac:dyDescent="0.3">
      <c r="A119">
        <v>118</v>
      </c>
      <c r="B119" t="s">
        <v>142</v>
      </c>
      <c r="C119">
        <v>85</v>
      </c>
      <c r="D119">
        <v>10000</v>
      </c>
      <c r="E119">
        <v>46500000</v>
      </c>
      <c r="F119">
        <v>46500000</v>
      </c>
      <c r="G119" s="1">
        <v>3.0000000000000001E-6</v>
      </c>
      <c r="H119">
        <v>12400</v>
      </c>
      <c r="I119">
        <v>1600000000</v>
      </c>
      <c r="J119" t="s">
        <v>13</v>
      </c>
    </row>
    <row r="120" spans="1:10" x14ac:dyDescent="0.3">
      <c r="A120">
        <v>119</v>
      </c>
      <c r="B120" t="s">
        <v>143</v>
      </c>
      <c r="C120">
        <v>82</v>
      </c>
      <c r="D120">
        <v>160</v>
      </c>
      <c r="E120">
        <v>46500000</v>
      </c>
      <c r="F120">
        <v>46500000</v>
      </c>
      <c r="G120">
        <v>8.8099999999999995E-4</v>
      </c>
      <c r="H120">
        <v>4000000</v>
      </c>
      <c r="I120">
        <v>773500000</v>
      </c>
      <c r="J120" t="s">
        <v>13</v>
      </c>
    </row>
    <row r="121" spans="1:10" x14ac:dyDescent="0.3">
      <c r="A121">
        <v>120</v>
      </c>
      <c r="B121" t="s">
        <v>144</v>
      </c>
      <c r="C121">
        <v>85</v>
      </c>
      <c r="D121">
        <v>5200</v>
      </c>
      <c r="E121">
        <v>46500000</v>
      </c>
      <c r="F121">
        <v>46500000</v>
      </c>
      <c r="G121" s="1">
        <v>5.7000000000000003E-5</v>
      </c>
      <c r="H121">
        <v>259400</v>
      </c>
      <c r="I121">
        <v>3000000000</v>
      </c>
      <c r="J121" t="s">
        <v>34</v>
      </c>
    </row>
    <row r="122" spans="1:10" x14ac:dyDescent="0.3">
      <c r="A122">
        <v>121</v>
      </c>
      <c r="B122" t="s">
        <v>145</v>
      </c>
      <c r="C122">
        <v>78</v>
      </c>
      <c r="D122">
        <v>3200</v>
      </c>
      <c r="E122">
        <v>46200000</v>
      </c>
      <c r="F122">
        <v>46200000</v>
      </c>
      <c r="G122">
        <v>5.71E-4</v>
      </c>
      <c r="H122">
        <v>2600000</v>
      </c>
      <c r="I122">
        <v>9600000000</v>
      </c>
      <c r="J122" t="s">
        <v>13</v>
      </c>
    </row>
    <row r="123" spans="1:10" x14ac:dyDescent="0.3">
      <c r="A123">
        <v>122</v>
      </c>
      <c r="B123" t="s">
        <v>146</v>
      </c>
      <c r="C123">
        <v>82</v>
      </c>
      <c r="D123">
        <v>3200</v>
      </c>
      <c r="E123">
        <v>45900000</v>
      </c>
      <c r="F123">
        <v>45900000</v>
      </c>
      <c r="G123" s="1">
        <v>6.8999999999999997E-5</v>
      </c>
      <c r="H123">
        <v>311500</v>
      </c>
      <c r="I123">
        <v>3500000000</v>
      </c>
      <c r="J123" t="s">
        <v>13</v>
      </c>
    </row>
    <row r="124" spans="1:10" x14ac:dyDescent="0.3">
      <c r="A124">
        <v>123</v>
      </c>
      <c r="B124" t="s">
        <v>147</v>
      </c>
      <c r="C124">
        <v>80</v>
      </c>
      <c r="D124">
        <v>20</v>
      </c>
      <c r="E124">
        <v>45900000</v>
      </c>
      <c r="F124">
        <v>45900000</v>
      </c>
      <c r="G124">
        <v>1E-4</v>
      </c>
      <c r="H124">
        <v>455300</v>
      </c>
      <c r="I124">
        <v>18300000</v>
      </c>
      <c r="J124" t="s">
        <v>148</v>
      </c>
    </row>
    <row r="125" spans="1:10" x14ac:dyDescent="0.3">
      <c r="A125">
        <v>124</v>
      </c>
      <c r="B125" t="s">
        <v>149</v>
      </c>
      <c r="C125">
        <v>82</v>
      </c>
      <c r="D125">
        <v>16900</v>
      </c>
      <c r="E125">
        <v>45800000</v>
      </c>
      <c r="F125">
        <v>45800000</v>
      </c>
      <c r="G125" s="1">
        <v>1.2E-5</v>
      </c>
      <c r="H125">
        <v>52800</v>
      </c>
      <c r="I125">
        <v>3200000000</v>
      </c>
      <c r="J125" t="s">
        <v>13</v>
      </c>
    </row>
    <row r="126" spans="1:10" x14ac:dyDescent="0.3">
      <c r="A126">
        <v>125</v>
      </c>
      <c r="B126" t="s">
        <v>150</v>
      </c>
      <c r="C126">
        <v>85</v>
      </c>
      <c r="D126">
        <v>1800</v>
      </c>
      <c r="E126">
        <v>45400000</v>
      </c>
      <c r="F126">
        <v>45400000</v>
      </c>
      <c r="G126" s="1">
        <v>4.3999999999999999E-5</v>
      </c>
      <c r="H126">
        <v>199800</v>
      </c>
      <c r="I126">
        <v>784000000</v>
      </c>
      <c r="J126" t="s">
        <v>13</v>
      </c>
    </row>
    <row r="127" spans="1:10" x14ac:dyDescent="0.3">
      <c r="A127">
        <v>126</v>
      </c>
      <c r="B127" t="s">
        <v>151</v>
      </c>
      <c r="C127">
        <v>84</v>
      </c>
      <c r="D127">
        <v>1100</v>
      </c>
      <c r="E127">
        <v>45400000</v>
      </c>
      <c r="F127">
        <v>45400000</v>
      </c>
      <c r="G127">
        <v>2.7599999999999999E-4</v>
      </c>
      <c r="H127">
        <v>1200000</v>
      </c>
      <c r="I127">
        <v>1200000000</v>
      </c>
      <c r="J127" t="s">
        <v>15</v>
      </c>
    </row>
    <row r="128" spans="1:10" x14ac:dyDescent="0.3">
      <c r="A128">
        <v>127</v>
      </c>
      <c r="B128" t="s">
        <v>152</v>
      </c>
      <c r="C128">
        <v>86</v>
      </c>
      <c r="D128">
        <v>680</v>
      </c>
      <c r="E128">
        <v>44800000</v>
      </c>
      <c r="F128">
        <v>44800000</v>
      </c>
      <c r="G128">
        <v>2.61E-4</v>
      </c>
      <c r="H128">
        <v>1200000</v>
      </c>
      <c r="I128">
        <v>925700000</v>
      </c>
      <c r="J128" t="s">
        <v>15</v>
      </c>
    </row>
    <row r="129" spans="1:10" x14ac:dyDescent="0.3">
      <c r="A129">
        <v>128</v>
      </c>
      <c r="B129" t="s">
        <v>153</v>
      </c>
      <c r="C129">
        <v>42</v>
      </c>
      <c r="D129">
        <v>1500</v>
      </c>
      <c r="E129">
        <v>44500000</v>
      </c>
      <c r="F129">
        <v>44500000</v>
      </c>
      <c r="G129" s="1">
        <v>6.7000000000000002E-5</v>
      </c>
      <c r="H129">
        <v>294100</v>
      </c>
      <c r="I129">
        <v>820100000</v>
      </c>
      <c r="J129" t="s">
        <v>34</v>
      </c>
    </row>
    <row r="130" spans="1:10" x14ac:dyDescent="0.3">
      <c r="A130">
        <v>129</v>
      </c>
      <c r="B130" t="s">
        <v>154</v>
      </c>
      <c r="C130">
        <v>85</v>
      </c>
      <c r="D130">
        <v>970</v>
      </c>
      <c r="E130">
        <v>44200000</v>
      </c>
      <c r="F130">
        <v>44200000</v>
      </c>
      <c r="G130" s="1">
        <v>9.6000000000000002E-5</v>
      </c>
      <c r="H130">
        <v>414800</v>
      </c>
      <c r="I130">
        <v>782500000</v>
      </c>
      <c r="J130" t="s">
        <v>15</v>
      </c>
    </row>
    <row r="131" spans="1:10" x14ac:dyDescent="0.3">
      <c r="A131">
        <v>130</v>
      </c>
      <c r="B131" t="s">
        <v>155</v>
      </c>
      <c r="C131">
        <v>76</v>
      </c>
      <c r="D131">
        <v>4900</v>
      </c>
      <c r="E131">
        <v>43900000</v>
      </c>
      <c r="F131">
        <v>43900000</v>
      </c>
      <c r="G131" s="1">
        <v>7.1000000000000005E-5</v>
      </c>
      <c r="H131">
        <v>303900</v>
      </c>
      <c r="I131">
        <v>2300000000</v>
      </c>
      <c r="J131" t="s">
        <v>34</v>
      </c>
    </row>
    <row r="132" spans="1:10" x14ac:dyDescent="0.3">
      <c r="A132">
        <v>131</v>
      </c>
      <c r="B132" t="s">
        <v>156</v>
      </c>
      <c r="C132">
        <v>84</v>
      </c>
      <c r="D132">
        <v>1600</v>
      </c>
      <c r="E132">
        <v>43800000</v>
      </c>
      <c r="F132">
        <v>43800000</v>
      </c>
      <c r="G132">
        <v>2.1800000000000001E-4</v>
      </c>
      <c r="H132">
        <v>944300</v>
      </c>
      <c r="I132">
        <v>2200000000</v>
      </c>
      <c r="J132" t="s">
        <v>15</v>
      </c>
    </row>
    <row r="133" spans="1:10" x14ac:dyDescent="0.3">
      <c r="A133">
        <v>132</v>
      </c>
      <c r="B133" t="s">
        <v>157</v>
      </c>
      <c r="C133">
        <v>84</v>
      </c>
      <c r="D133">
        <v>1900</v>
      </c>
      <c r="E133">
        <v>43800000</v>
      </c>
      <c r="F133">
        <v>43800000</v>
      </c>
      <c r="G133">
        <v>1.4799999999999999E-4</v>
      </c>
      <c r="H133">
        <v>640500</v>
      </c>
      <c r="I133">
        <v>2000000000</v>
      </c>
      <c r="J133" t="s">
        <v>64</v>
      </c>
    </row>
    <row r="134" spans="1:10" x14ac:dyDescent="0.3">
      <c r="A134">
        <v>133</v>
      </c>
      <c r="B134" t="s">
        <v>158</v>
      </c>
      <c r="C134">
        <v>85</v>
      </c>
      <c r="D134">
        <v>580</v>
      </c>
      <c r="E134">
        <v>43700000</v>
      </c>
      <c r="F134">
        <v>43700000</v>
      </c>
      <c r="G134">
        <v>3.8200000000000002E-4</v>
      </c>
      <c r="H134">
        <v>1600000</v>
      </c>
      <c r="I134">
        <v>949900000</v>
      </c>
      <c r="J134" t="s">
        <v>159</v>
      </c>
    </row>
    <row r="135" spans="1:10" x14ac:dyDescent="0.3">
      <c r="A135">
        <v>134</v>
      </c>
      <c r="B135" t="s">
        <v>160</v>
      </c>
      <c r="C135">
        <v>81</v>
      </c>
      <c r="D135">
        <v>10000</v>
      </c>
      <c r="E135">
        <v>43400000</v>
      </c>
      <c r="F135">
        <v>43400000</v>
      </c>
      <c r="G135" s="1">
        <v>3.3000000000000003E-5</v>
      </c>
      <c r="H135">
        <v>139300</v>
      </c>
      <c r="I135">
        <v>3800000000</v>
      </c>
      <c r="J135" t="s">
        <v>87</v>
      </c>
    </row>
    <row r="136" spans="1:10" x14ac:dyDescent="0.3">
      <c r="A136">
        <v>135</v>
      </c>
      <c r="B136" t="s">
        <v>161</v>
      </c>
      <c r="C136">
        <v>85</v>
      </c>
      <c r="D136">
        <v>8900</v>
      </c>
      <c r="E136">
        <v>43200000</v>
      </c>
      <c r="F136">
        <v>43200000</v>
      </c>
      <c r="G136" s="1">
        <v>1.9999999999999999E-6</v>
      </c>
      <c r="H136">
        <v>7700</v>
      </c>
      <c r="I136">
        <v>580700000</v>
      </c>
      <c r="J136" t="s">
        <v>11</v>
      </c>
    </row>
    <row r="137" spans="1:10" x14ac:dyDescent="0.3">
      <c r="A137">
        <v>136</v>
      </c>
      <c r="B137" t="s">
        <v>162</v>
      </c>
      <c r="C137">
        <v>84</v>
      </c>
      <c r="D137">
        <v>3000</v>
      </c>
      <c r="E137">
        <v>43100000</v>
      </c>
      <c r="F137">
        <v>43100000</v>
      </c>
      <c r="G137">
        <v>1.05E-4</v>
      </c>
      <c r="H137">
        <v>444200</v>
      </c>
      <c r="I137">
        <v>2900000000</v>
      </c>
      <c r="J137" t="s">
        <v>13</v>
      </c>
    </row>
    <row r="138" spans="1:10" x14ac:dyDescent="0.3">
      <c r="A138">
        <v>137</v>
      </c>
      <c r="B138" t="s">
        <v>163</v>
      </c>
      <c r="C138">
        <v>86</v>
      </c>
      <c r="D138">
        <v>4400</v>
      </c>
      <c r="E138">
        <v>42900000</v>
      </c>
      <c r="F138">
        <v>42900000</v>
      </c>
      <c r="G138" s="1">
        <v>4.3000000000000002E-5</v>
      </c>
      <c r="H138">
        <v>181000</v>
      </c>
      <c r="I138">
        <v>3500000000</v>
      </c>
      <c r="J138" t="s">
        <v>13</v>
      </c>
    </row>
    <row r="139" spans="1:10" x14ac:dyDescent="0.3">
      <c r="A139">
        <v>138</v>
      </c>
      <c r="B139" t="s">
        <v>164</v>
      </c>
      <c r="C139">
        <v>83</v>
      </c>
      <c r="D139">
        <v>950</v>
      </c>
      <c r="E139">
        <v>42200000</v>
      </c>
      <c r="F139">
        <v>42200000</v>
      </c>
      <c r="G139">
        <v>1.4899999999999999E-4</v>
      </c>
      <c r="H139">
        <v>624500</v>
      </c>
      <c r="I139">
        <v>710700000</v>
      </c>
      <c r="J139" t="s">
        <v>15</v>
      </c>
    </row>
    <row r="140" spans="1:10" x14ac:dyDescent="0.3">
      <c r="A140">
        <v>139</v>
      </c>
      <c r="B140" t="s">
        <v>165</v>
      </c>
      <c r="C140">
        <v>83</v>
      </c>
      <c r="D140">
        <v>10</v>
      </c>
      <c r="E140">
        <v>42100000</v>
      </c>
      <c r="F140">
        <v>42100000</v>
      </c>
      <c r="G140">
        <v>1.3090000000000001E-3</v>
      </c>
      <c r="H140">
        <v>5400000</v>
      </c>
      <c r="I140">
        <v>67500000</v>
      </c>
      <c r="J140" t="s">
        <v>15</v>
      </c>
    </row>
    <row r="141" spans="1:10" x14ac:dyDescent="0.3">
      <c r="A141">
        <v>140</v>
      </c>
      <c r="B141" t="s">
        <v>166</v>
      </c>
      <c r="C141">
        <v>80</v>
      </c>
      <c r="D141">
        <v>3000</v>
      </c>
      <c r="E141">
        <v>42100000</v>
      </c>
      <c r="F141">
        <v>42100000</v>
      </c>
      <c r="G141" s="1">
        <v>5.5000000000000002E-5</v>
      </c>
      <c r="H141">
        <v>221700</v>
      </c>
      <c r="I141">
        <v>1600000000</v>
      </c>
      <c r="J141" t="s">
        <v>78</v>
      </c>
    </row>
    <row r="142" spans="1:10" x14ac:dyDescent="0.3">
      <c r="A142">
        <v>141</v>
      </c>
      <c r="B142" t="s">
        <v>167</v>
      </c>
      <c r="C142">
        <v>83</v>
      </c>
      <c r="D142">
        <v>20</v>
      </c>
      <c r="E142">
        <v>41900000</v>
      </c>
      <c r="F142">
        <v>41900000</v>
      </c>
      <c r="G142">
        <v>2.6410000000000001E-3</v>
      </c>
      <c r="H142">
        <v>11000000</v>
      </c>
      <c r="I142">
        <v>368100000</v>
      </c>
      <c r="J142" t="s">
        <v>15</v>
      </c>
    </row>
    <row r="143" spans="1:10" x14ac:dyDescent="0.3">
      <c r="A143">
        <v>142</v>
      </c>
      <c r="B143" t="s">
        <v>168</v>
      </c>
      <c r="C143">
        <v>73</v>
      </c>
      <c r="D143">
        <v>1400</v>
      </c>
      <c r="E143">
        <v>41800000</v>
      </c>
      <c r="F143">
        <v>41800000</v>
      </c>
      <c r="G143">
        <v>1.9799999999999999E-4</v>
      </c>
      <c r="H143">
        <v>818600</v>
      </c>
      <c r="I143">
        <v>1500000000</v>
      </c>
      <c r="J143" t="s">
        <v>34</v>
      </c>
    </row>
    <row r="144" spans="1:10" x14ac:dyDescent="0.3">
      <c r="A144">
        <v>143</v>
      </c>
      <c r="B144" t="s">
        <v>169</v>
      </c>
      <c r="C144">
        <v>83</v>
      </c>
      <c r="D144">
        <v>1700</v>
      </c>
      <c r="E144">
        <v>41600000</v>
      </c>
      <c r="F144">
        <v>41600000</v>
      </c>
      <c r="G144">
        <v>1.76E-4</v>
      </c>
      <c r="H144">
        <v>727500</v>
      </c>
      <c r="I144">
        <v>2300000000</v>
      </c>
      <c r="J144" t="s">
        <v>170</v>
      </c>
    </row>
    <row r="145" spans="1:10" x14ac:dyDescent="0.3">
      <c r="A145">
        <v>144</v>
      </c>
      <c r="B145" t="s">
        <v>171</v>
      </c>
      <c r="C145">
        <v>83</v>
      </c>
      <c r="D145">
        <v>670</v>
      </c>
      <c r="E145">
        <v>41500000</v>
      </c>
      <c r="F145">
        <v>41500000</v>
      </c>
      <c r="G145">
        <v>3.97E-4</v>
      </c>
      <c r="H145">
        <v>1600000</v>
      </c>
      <c r="I145">
        <v>767000000</v>
      </c>
      <c r="J145" t="s">
        <v>15</v>
      </c>
    </row>
    <row r="146" spans="1:10" x14ac:dyDescent="0.3">
      <c r="A146">
        <v>145</v>
      </c>
      <c r="B146" t="s">
        <v>172</v>
      </c>
      <c r="C146">
        <v>85</v>
      </c>
      <c r="D146">
        <v>9700</v>
      </c>
      <c r="E146">
        <v>41500000</v>
      </c>
      <c r="F146">
        <v>41500000</v>
      </c>
      <c r="G146" s="1">
        <v>1.5999999999999999E-5</v>
      </c>
      <c r="H146">
        <v>63600</v>
      </c>
      <c r="I146">
        <v>863000000</v>
      </c>
      <c r="J146" t="s">
        <v>15</v>
      </c>
    </row>
    <row r="147" spans="1:10" x14ac:dyDescent="0.3">
      <c r="A147">
        <v>146</v>
      </c>
      <c r="B147" t="s">
        <v>173</v>
      </c>
      <c r="C147">
        <v>85</v>
      </c>
      <c r="D147">
        <v>1800</v>
      </c>
      <c r="E147">
        <v>40800000</v>
      </c>
      <c r="F147">
        <v>40800000</v>
      </c>
      <c r="G147" s="1">
        <v>7.6000000000000004E-5</v>
      </c>
      <c r="H147">
        <v>299300</v>
      </c>
      <c r="I147">
        <v>1800000000</v>
      </c>
      <c r="J147" t="s">
        <v>174</v>
      </c>
    </row>
    <row r="148" spans="1:10" x14ac:dyDescent="0.3">
      <c r="A148">
        <v>147</v>
      </c>
      <c r="B148" t="s">
        <v>175</v>
      </c>
      <c r="C148">
        <v>81</v>
      </c>
      <c r="D148">
        <v>2100</v>
      </c>
      <c r="E148">
        <v>40700000</v>
      </c>
      <c r="F148">
        <v>40700000</v>
      </c>
      <c r="G148" s="1">
        <v>9.9999999999999995E-7</v>
      </c>
      <c r="H148">
        <v>0</v>
      </c>
      <c r="I148">
        <v>1200000000</v>
      </c>
      <c r="J148" t="s">
        <v>34</v>
      </c>
    </row>
    <row r="149" spans="1:10" x14ac:dyDescent="0.3">
      <c r="A149">
        <v>148</v>
      </c>
      <c r="B149" t="s">
        <v>176</v>
      </c>
      <c r="C149">
        <v>85</v>
      </c>
      <c r="D149">
        <v>90</v>
      </c>
      <c r="E149">
        <v>40700000</v>
      </c>
      <c r="F149">
        <v>40700000</v>
      </c>
      <c r="G149">
        <v>1.8799999999999999E-4</v>
      </c>
      <c r="H149">
        <v>731000</v>
      </c>
      <c r="I149">
        <v>452000000</v>
      </c>
      <c r="J149" t="s">
        <v>15</v>
      </c>
    </row>
    <row r="150" spans="1:10" x14ac:dyDescent="0.3">
      <c r="A150">
        <v>149</v>
      </c>
      <c r="B150" t="s">
        <v>177</v>
      </c>
      <c r="C150">
        <v>85</v>
      </c>
      <c r="D150">
        <v>300</v>
      </c>
      <c r="E150">
        <v>40100000</v>
      </c>
      <c r="F150">
        <v>40100000</v>
      </c>
      <c r="G150">
        <v>2.4899999999999998E-4</v>
      </c>
      <c r="H150">
        <v>994400</v>
      </c>
      <c r="I150">
        <v>957900000</v>
      </c>
      <c r="J150" t="s">
        <v>15</v>
      </c>
    </row>
    <row r="151" spans="1:10" x14ac:dyDescent="0.3">
      <c r="A151">
        <v>150</v>
      </c>
      <c r="B151" t="s">
        <v>178</v>
      </c>
      <c r="C151">
        <v>85</v>
      </c>
      <c r="D151">
        <v>2000</v>
      </c>
      <c r="E151">
        <v>40000000</v>
      </c>
      <c r="F151">
        <v>40000000</v>
      </c>
      <c r="G151" s="1">
        <v>4.1E-5</v>
      </c>
      <c r="H151">
        <v>161700</v>
      </c>
      <c r="I151">
        <v>500500000</v>
      </c>
      <c r="J151" t="s">
        <v>11</v>
      </c>
    </row>
    <row r="152" spans="1:10" x14ac:dyDescent="0.3">
      <c r="A152">
        <v>151</v>
      </c>
      <c r="B152" t="s">
        <v>179</v>
      </c>
      <c r="C152">
        <v>81</v>
      </c>
      <c r="D152">
        <v>4500</v>
      </c>
      <c r="E152">
        <v>40000000</v>
      </c>
      <c r="F152">
        <v>40000000</v>
      </c>
      <c r="G152" s="1">
        <v>2.1999999999999999E-5</v>
      </c>
      <c r="H152">
        <v>87400</v>
      </c>
      <c r="I152">
        <v>529900000</v>
      </c>
      <c r="J152" t="s">
        <v>83</v>
      </c>
    </row>
    <row r="153" spans="1:10" x14ac:dyDescent="0.3">
      <c r="A153">
        <v>152</v>
      </c>
      <c r="B153" t="s">
        <v>180</v>
      </c>
      <c r="C153">
        <v>75</v>
      </c>
      <c r="D153">
        <v>10000</v>
      </c>
      <c r="E153">
        <v>39900000</v>
      </c>
      <c r="F153">
        <v>39900000</v>
      </c>
      <c r="G153" s="1">
        <v>4.1999999999999998E-5</v>
      </c>
      <c r="H153">
        <v>162900</v>
      </c>
      <c r="I153">
        <v>3500000000</v>
      </c>
      <c r="J153" t="s">
        <v>50</v>
      </c>
    </row>
    <row r="154" spans="1:10" x14ac:dyDescent="0.3">
      <c r="A154">
        <v>153</v>
      </c>
      <c r="B154" t="s">
        <v>181</v>
      </c>
      <c r="C154">
        <v>80</v>
      </c>
      <c r="D154">
        <v>2300</v>
      </c>
      <c r="E154">
        <v>39900000</v>
      </c>
      <c r="F154">
        <v>39900000</v>
      </c>
      <c r="G154" s="1">
        <v>4.6E-5</v>
      </c>
      <c r="H154">
        <v>181100</v>
      </c>
      <c r="I154">
        <v>1700000000</v>
      </c>
      <c r="J154" t="s">
        <v>13</v>
      </c>
    </row>
    <row r="155" spans="1:10" x14ac:dyDescent="0.3">
      <c r="A155">
        <v>154</v>
      </c>
      <c r="B155" t="s">
        <v>182</v>
      </c>
      <c r="C155">
        <v>78</v>
      </c>
      <c r="D155">
        <v>11600</v>
      </c>
      <c r="E155">
        <v>39200000</v>
      </c>
      <c r="F155">
        <v>39200000</v>
      </c>
      <c r="G155" s="1">
        <v>2.3E-5</v>
      </c>
      <c r="H155">
        <v>84400</v>
      </c>
      <c r="I155">
        <v>1800000000</v>
      </c>
      <c r="J155" t="s">
        <v>13</v>
      </c>
    </row>
    <row r="156" spans="1:10" x14ac:dyDescent="0.3">
      <c r="A156">
        <v>155</v>
      </c>
      <c r="B156" t="s">
        <v>183</v>
      </c>
      <c r="C156">
        <v>84</v>
      </c>
      <c r="D156">
        <v>1200</v>
      </c>
      <c r="E156">
        <v>39200000</v>
      </c>
      <c r="F156">
        <v>39200000</v>
      </c>
      <c r="G156" s="1">
        <v>5.8999999999999998E-5</v>
      </c>
      <c r="H156">
        <v>227700</v>
      </c>
      <c r="I156">
        <v>563900000</v>
      </c>
      <c r="J156" t="s">
        <v>15</v>
      </c>
    </row>
    <row r="157" spans="1:10" x14ac:dyDescent="0.3">
      <c r="A157">
        <v>156</v>
      </c>
      <c r="B157" t="s">
        <v>184</v>
      </c>
      <c r="C157">
        <v>58</v>
      </c>
      <c r="D157">
        <v>100</v>
      </c>
      <c r="E157">
        <v>39100000</v>
      </c>
      <c r="F157">
        <v>39100000</v>
      </c>
      <c r="G157" s="1">
        <v>1.7E-5</v>
      </c>
      <c r="H157">
        <v>0</v>
      </c>
      <c r="I157">
        <v>439400000</v>
      </c>
      <c r="J157" t="s">
        <v>15</v>
      </c>
    </row>
    <row r="158" spans="1:10" x14ac:dyDescent="0.3">
      <c r="A158">
        <v>157</v>
      </c>
      <c r="B158" t="s">
        <v>185</v>
      </c>
      <c r="C158">
        <v>74</v>
      </c>
      <c r="D158">
        <v>730</v>
      </c>
      <c r="E158">
        <v>39100000</v>
      </c>
      <c r="F158">
        <v>39100000</v>
      </c>
      <c r="G158">
        <v>8.5599999999999999E-4</v>
      </c>
      <c r="H158">
        <v>3300000</v>
      </c>
      <c r="I158">
        <v>1600000000</v>
      </c>
      <c r="J158" t="s">
        <v>15</v>
      </c>
    </row>
    <row r="159" spans="1:10" x14ac:dyDescent="0.3">
      <c r="A159">
        <v>158</v>
      </c>
      <c r="B159" t="s">
        <v>186</v>
      </c>
      <c r="C159">
        <v>80</v>
      </c>
      <c r="D159">
        <v>1800</v>
      </c>
      <c r="E159">
        <v>39000000</v>
      </c>
      <c r="F159">
        <v>39000000</v>
      </c>
      <c r="G159">
        <v>1.01E-4</v>
      </c>
      <c r="H159">
        <v>383300</v>
      </c>
      <c r="I159">
        <v>1400000000</v>
      </c>
      <c r="J159" t="s">
        <v>15</v>
      </c>
    </row>
    <row r="160" spans="1:10" x14ac:dyDescent="0.3">
      <c r="A160">
        <v>159</v>
      </c>
      <c r="B160" t="s">
        <v>187</v>
      </c>
      <c r="C160">
        <v>79</v>
      </c>
      <c r="D160">
        <v>5100</v>
      </c>
      <c r="E160">
        <v>38900000</v>
      </c>
      <c r="F160">
        <v>38900000</v>
      </c>
      <c r="G160" s="1">
        <v>4.3000000000000002E-5</v>
      </c>
      <c r="H160">
        <v>162100</v>
      </c>
      <c r="I160">
        <v>3200000000</v>
      </c>
      <c r="J160" t="s">
        <v>13</v>
      </c>
    </row>
    <row r="161" spans="1:10" x14ac:dyDescent="0.3">
      <c r="A161">
        <v>160</v>
      </c>
      <c r="B161" t="s">
        <v>188</v>
      </c>
      <c r="C161">
        <v>75</v>
      </c>
      <c r="D161">
        <v>13400</v>
      </c>
      <c r="E161">
        <v>38800000</v>
      </c>
      <c r="F161">
        <v>38800000</v>
      </c>
      <c r="G161" s="1">
        <v>1.2999999999999999E-5</v>
      </c>
      <c r="H161">
        <v>49100</v>
      </c>
      <c r="I161">
        <v>1900000000</v>
      </c>
      <c r="J161" t="s">
        <v>83</v>
      </c>
    </row>
    <row r="162" spans="1:10" x14ac:dyDescent="0.3">
      <c r="A162">
        <v>161</v>
      </c>
      <c r="B162" t="s">
        <v>189</v>
      </c>
      <c r="C162">
        <v>80</v>
      </c>
      <c r="D162">
        <v>500</v>
      </c>
      <c r="E162">
        <v>38700000</v>
      </c>
      <c r="F162">
        <v>38700000</v>
      </c>
      <c r="G162" s="1">
        <v>3.1000000000000001E-5</v>
      </c>
      <c r="H162">
        <v>115700</v>
      </c>
      <c r="I162">
        <v>199800000</v>
      </c>
      <c r="J162" t="s">
        <v>13</v>
      </c>
    </row>
    <row r="163" spans="1:10" x14ac:dyDescent="0.3">
      <c r="A163">
        <v>162</v>
      </c>
      <c r="B163" t="s">
        <v>190</v>
      </c>
      <c r="C163">
        <v>83</v>
      </c>
      <c r="D163">
        <v>7300</v>
      </c>
      <c r="E163">
        <v>38500000</v>
      </c>
      <c r="F163">
        <v>38500000</v>
      </c>
      <c r="G163" s="1">
        <v>6.0000000000000002E-6</v>
      </c>
      <c r="H163">
        <v>22400</v>
      </c>
      <c r="I163">
        <v>644100000</v>
      </c>
      <c r="J163" t="s">
        <v>191</v>
      </c>
    </row>
    <row r="164" spans="1:10" x14ac:dyDescent="0.3">
      <c r="A164">
        <v>163</v>
      </c>
      <c r="B164" t="s">
        <v>192</v>
      </c>
      <c r="C164">
        <v>85</v>
      </c>
      <c r="D164">
        <v>5300</v>
      </c>
      <c r="E164">
        <v>38300000</v>
      </c>
      <c r="F164">
        <v>38300000</v>
      </c>
      <c r="G164">
        <v>1.75E-4</v>
      </c>
      <c r="H164">
        <v>658300</v>
      </c>
      <c r="I164">
        <v>3700000000</v>
      </c>
      <c r="J164" t="s">
        <v>15</v>
      </c>
    </row>
    <row r="165" spans="1:10" x14ac:dyDescent="0.3">
      <c r="A165">
        <v>164</v>
      </c>
      <c r="B165" t="s">
        <v>193</v>
      </c>
      <c r="C165">
        <v>84</v>
      </c>
      <c r="D165">
        <v>730</v>
      </c>
      <c r="E165">
        <v>38300000</v>
      </c>
      <c r="F165">
        <v>38300000</v>
      </c>
      <c r="G165">
        <v>1E-4</v>
      </c>
      <c r="H165">
        <v>363800</v>
      </c>
      <c r="I165">
        <v>594700000</v>
      </c>
      <c r="J165" t="s">
        <v>15</v>
      </c>
    </row>
    <row r="166" spans="1:10" x14ac:dyDescent="0.3">
      <c r="A166">
        <v>165</v>
      </c>
      <c r="B166" t="s">
        <v>194</v>
      </c>
      <c r="C166">
        <v>83</v>
      </c>
      <c r="D166">
        <v>2700</v>
      </c>
      <c r="E166">
        <v>38100000</v>
      </c>
      <c r="F166">
        <v>38100000</v>
      </c>
      <c r="G166">
        <v>1.5799999999999999E-4</v>
      </c>
      <c r="H166">
        <v>555900</v>
      </c>
      <c r="I166">
        <v>1600000000</v>
      </c>
      <c r="J166" t="s">
        <v>15</v>
      </c>
    </row>
    <row r="167" spans="1:10" x14ac:dyDescent="0.3">
      <c r="A167">
        <v>166</v>
      </c>
      <c r="B167" t="s">
        <v>195</v>
      </c>
      <c r="C167">
        <v>80</v>
      </c>
      <c r="D167">
        <v>8900</v>
      </c>
      <c r="E167">
        <v>37400000</v>
      </c>
      <c r="F167">
        <v>37400000</v>
      </c>
      <c r="G167" s="1">
        <v>1.9999999999999999E-6</v>
      </c>
      <c r="H167">
        <v>0</v>
      </c>
      <c r="I167">
        <v>2300000000</v>
      </c>
      <c r="J167" t="s">
        <v>15</v>
      </c>
    </row>
    <row r="168" spans="1:10" x14ac:dyDescent="0.3">
      <c r="A168">
        <v>167</v>
      </c>
      <c r="B168" t="s">
        <v>196</v>
      </c>
      <c r="C168">
        <v>84</v>
      </c>
      <c r="D168">
        <v>1300</v>
      </c>
      <c r="E168">
        <v>37400000</v>
      </c>
      <c r="F168">
        <v>37400000</v>
      </c>
      <c r="G168" s="1">
        <v>6.7999999999999999E-5</v>
      </c>
      <c r="H168">
        <v>246900</v>
      </c>
      <c r="I168">
        <v>672100000</v>
      </c>
      <c r="J168" t="s">
        <v>15</v>
      </c>
    </row>
    <row r="169" spans="1:10" x14ac:dyDescent="0.3">
      <c r="A169">
        <v>168</v>
      </c>
      <c r="B169" t="s">
        <v>197</v>
      </c>
      <c r="C169">
        <v>83</v>
      </c>
      <c r="D169">
        <v>110</v>
      </c>
      <c r="E169">
        <v>37000000</v>
      </c>
      <c r="F169">
        <v>37000000</v>
      </c>
      <c r="G169">
        <v>0</v>
      </c>
      <c r="H169">
        <v>0</v>
      </c>
      <c r="I169">
        <v>1200000000</v>
      </c>
      <c r="J169" t="s">
        <v>15</v>
      </c>
    </row>
    <row r="170" spans="1:10" x14ac:dyDescent="0.3">
      <c r="A170">
        <v>169</v>
      </c>
      <c r="B170" t="s">
        <v>198</v>
      </c>
      <c r="C170">
        <v>76</v>
      </c>
      <c r="D170">
        <v>380</v>
      </c>
      <c r="E170">
        <v>36900000</v>
      </c>
      <c r="F170">
        <v>36900000</v>
      </c>
      <c r="G170" s="1">
        <v>1.2E-5</v>
      </c>
      <c r="H170">
        <v>43400</v>
      </c>
      <c r="I170">
        <v>66700000</v>
      </c>
      <c r="J170" t="s">
        <v>83</v>
      </c>
    </row>
    <row r="171" spans="1:10" x14ac:dyDescent="0.3">
      <c r="A171">
        <v>170</v>
      </c>
      <c r="B171" t="s">
        <v>199</v>
      </c>
      <c r="C171">
        <v>83</v>
      </c>
      <c r="D171">
        <v>870</v>
      </c>
      <c r="E171">
        <v>36500000</v>
      </c>
      <c r="F171">
        <v>36500000</v>
      </c>
      <c r="G171" s="1">
        <v>5.7000000000000003E-5</v>
      </c>
      <c r="H171">
        <v>203600</v>
      </c>
      <c r="I171">
        <v>955400000</v>
      </c>
      <c r="J171" t="s">
        <v>91</v>
      </c>
    </row>
    <row r="172" spans="1:10" x14ac:dyDescent="0.3">
      <c r="A172">
        <v>171</v>
      </c>
      <c r="B172" t="s">
        <v>200</v>
      </c>
      <c r="C172">
        <v>85</v>
      </c>
      <c r="D172">
        <v>9900</v>
      </c>
      <c r="E172">
        <v>36500000</v>
      </c>
      <c r="F172">
        <v>36500000</v>
      </c>
      <c r="G172" s="1">
        <v>1.0000000000000001E-5</v>
      </c>
      <c r="H172">
        <v>33400</v>
      </c>
      <c r="I172">
        <v>1500000000</v>
      </c>
      <c r="J172" t="s">
        <v>15</v>
      </c>
    </row>
    <row r="173" spans="1:10" x14ac:dyDescent="0.3">
      <c r="A173">
        <v>172</v>
      </c>
      <c r="B173" t="s">
        <v>201</v>
      </c>
      <c r="C173">
        <v>84</v>
      </c>
      <c r="D173">
        <v>660</v>
      </c>
      <c r="E173">
        <v>36400000</v>
      </c>
      <c r="F173">
        <v>36400000</v>
      </c>
      <c r="G173">
        <v>2.6899999999999998E-4</v>
      </c>
      <c r="H173">
        <v>962700</v>
      </c>
      <c r="I173">
        <v>730100000</v>
      </c>
      <c r="J173" t="s">
        <v>13</v>
      </c>
    </row>
    <row r="174" spans="1:10" x14ac:dyDescent="0.3">
      <c r="A174">
        <v>173</v>
      </c>
      <c r="B174" t="s">
        <v>202</v>
      </c>
      <c r="C174">
        <v>77</v>
      </c>
      <c r="D174">
        <v>10000</v>
      </c>
      <c r="E174">
        <v>36000000</v>
      </c>
      <c r="F174">
        <v>36000000</v>
      </c>
      <c r="G174" s="1">
        <v>1.8E-5</v>
      </c>
      <c r="H174">
        <v>64600</v>
      </c>
      <c r="I174">
        <v>2000000000</v>
      </c>
      <c r="J174" t="s">
        <v>203</v>
      </c>
    </row>
    <row r="175" spans="1:10" x14ac:dyDescent="0.3">
      <c r="A175">
        <v>174</v>
      </c>
      <c r="B175" t="s">
        <v>204</v>
      </c>
      <c r="C175">
        <v>81</v>
      </c>
      <c r="D175">
        <v>1200</v>
      </c>
      <c r="E175">
        <v>35900000</v>
      </c>
      <c r="F175">
        <v>35900000</v>
      </c>
      <c r="G175">
        <v>2.34E-4</v>
      </c>
      <c r="H175">
        <v>834500</v>
      </c>
      <c r="I175">
        <v>2600000000</v>
      </c>
      <c r="J175" t="s">
        <v>15</v>
      </c>
    </row>
    <row r="176" spans="1:10" x14ac:dyDescent="0.3">
      <c r="A176">
        <v>175</v>
      </c>
      <c r="B176" t="s">
        <v>205</v>
      </c>
      <c r="C176">
        <v>47</v>
      </c>
      <c r="D176">
        <v>30</v>
      </c>
      <c r="E176">
        <v>35900000</v>
      </c>
      <c r="F176">
        <v>35900000</v>
      </c>
      <c r="G176" s="1">
        <v>8.0000000000000007E-5</v>
      </c>
      <c r="H176">
        <v>285900</v>
      </c>
      <c r="I176">
        <v>18700000</v>
      </c>
      <c r="J176" t="s">
        <v>206</v>
      </c>
    </row>
    <row r="177" spans="1:10" x14ac:dyDescent="0.3">
      <c r="A177">
        <v>176</v>
      </c>
      <c r="B177" t="s">
        <v>207</v>
      </c>
      <c r="C177">
        <v>82</v>
      </c>
      <c r="D177">
        <v>1100</v>
      </c>
      <c r="E177">
        <v>35600000</v>
      </c>
      <c r="F177">
        <v>35600000</v>
      </c>
      <c r="G177">
        <v>2.5399999999999999E-4</v>
      </c>
      <c r="H177">
        <v>780000</v>
      </c>
      <c r="I177">
        <v>1500000000</v>
      </c>
      <c r="J177" t="s">
        <v>15</v>
      </c>
    </row>
    <row r="178" spans="1:10" x14ac:dyDescent="0.3">
      <c r="A178">
        <v>177</v>
      </c>
      <c r="B178" t="s">
        <v>208</v>
      </c>
      <c r="C178">
        <v>83</v>
      </c>
      <c r="D178">
        <v>2100</v>
      </c>
      <c r="E178">
        <v>35600000</v>
      </c>
      <c r="F178">
        <v>35600000</v>
      </c>
      <c r="G178">
        <v>1.2E-4</v>
      </c>
      <c r="H178">
        <v>422900</v>
      </c>
      <c r="I178">
        <v>2200000000</v>
      </c>
      <c r="J178" t="s">
        <v>64</v>
      </c>
    </row>
    <row r="179" spans="1:10" x14ac:dyDescent="0.3">
      <c r="A179">
        <v>178</v>
      </c>
      <c r="B179" t="s">
        <v>209</v>
      </c>
      <c r="C179">
        <v>78</v>
      </c>
      <c r="D179">
        <v>590</v>
      </c>
      <c r="E179">
        <v>35500000</v>
      </c>
      <c r="F179">
        <v>35500000</v>
      </c>
      <c r="G179">
        <v>5.2300000000000003E-4</v>
      </c>
      <c r="H179">
        <v>1800000</v>
      </c>
      <c r="I179">
        <v>1600000000</v>
      </c>
      <c r="J179" t="s">
        <v>210</v>
      </c>
    </row>
    <row r="180" spans="1:10" x14ac:dyDescent="0.3">
      <c r="A180">
        <v>179</v>
      </c>
      <c r="B180" t="s">
        <v>211</v>
      </c>
      <c r="C180">
        <v>81</v>
      </c>
      <c r="D180">
        <v>660</v>
      </c>
      <c r="E180">
        <v>35400000</v>
      </c>
      <c r="F180">
        <v>35400000</v>
      </c>
      <c r="G180">
        <v>1.1900000000000001E-4</v>
      </c>
      <c r="H180">
        <v>411500</v>
      </c>
      <c r="I180">
        <v>739500000</v>
      </c>
      <c r="J180" t="s">
        <v>13</v>
      </c>
    </row>
    <row r="181" spans="1:10" x14ac:dyDescent="0.3">
      <c r="A181">
        <v>180</v>
      </c>
      <c r="B181" t="s">
        <v>212</v>
      </c>
      <c r="C181">
        <v>76</v>
      </c>
      <c r="D181">
        <v>1000</v>
      </c>
      <c r="E181">
        <v>35300000</v>
      </c>
      <c r="F181">
        <v>35300000</v>
      </c>
      <c r="G181">
        <v>2.03E-4</v>
      </c>
      <c r="H181">
        <v>664500</v>
      </c>
      <c r="I181">
        <v>810000000</v>
      </c>
      <c r="J181" t="s">
        <v>15</v>
      </c>
    </row>
    <row r="182" spans="1:10" x14ac:dyDescent="0.3">
      <c r="A182">
        <v>181</v>
      </c>
      <c r="B182" t="s">
        <v>213</v>
      </c>
      <c r="C182">
        <v>72</v>
      </c>
      <c r="D182">
        <v>4400</v>
      </c>
      <c r="E182">
        <v>35000000</v>
      </c>
      <c r="F182">
        <v>35000000</v>
      </c>
      <c r="G182" s="1">
        <v>6.4999999999999994E-5</v>
      </c>
      <c r="H182">
        <v>222900</v>
      </c>
      <c r="I182">
        <v>1900000000</v>
      </c>
      <c r="J182" t="s">
        <v>34</v>
      </c>
    </row>
    <row r="183" spans="1:10" x14ac:dyDescent="0.3">
      <c r="A183">
        <v>182</v>
      </c>
      <c r="B183" t="s">
        <v>214</v>
      </c>
      <c r="C183">
        <v>84</v>
      </c>
      <c r="D183">
        <v>7600</v>
      </c>
      <c r="E183">
        <v>34800000</v>
      </c>
      <c r="F183">
        <v>34800000</v>
      </c>
      <c r="G183" s="1">
        <v>3.6000000000000001E-5</v>
      </c>
      <c r="H183">
        <v>121100</v>
      </c>
      <c r="I183">
        <v>1700000000</v>
      </c>
      <c r="J183" t="s">
        <v>34</v>
      </c>
    </row>
    <row r="184" spans="1:10" x14ac:dyDescent="0.3">
      <c r="A184">
        <v>183</v>
      </c>
      <c r="B184" t="s">
        <v>215</v>
      </c>
      <c r="C184">
        <v>83</v>
      </c>
      <c r="D184">
        <v>4100</v>
      </c>
      <c r="E184">
        <v>34800000</v>
      </c>
      <c r="F184">
        <v>34800000</v>
      </c>
      <c r="G184" s="1">
        <v>1.7E-5</v>
      </c>
      <c r="H184">
        <v>58600</v>
      </c>
      <c r="I184">
        <v>589600000</v>
      </c>
      <c r="J184" t="s">
        <v>15</v>
      </c>
    </row>
    <row r="185" spans="1:10" x14ac:dyDescent="0.3">
      <c r="A185">
        <v>184</v>
      </c>
      <c r="B185" t="s">
        <v>216</v>
      </c>
      <c r="C185">
        <v>83</v>
      </c>
      <c r="D185">
        <v>940</v>
      </c>
      <c r="E185">
        <v>34700000</v>
      </c>
      <c r="F185">
        <v>34700000</v>
      </c>
      <c r="G185">
        <v>1.6799999999999999E-4</v>
      </c>
      <c r="H185">
        <v>533500</v>
      </c>
      <c r="I185">
        <v>561300000</v>
      </c>
      <c r="J185" t="s">
        <v>15</v>
      </c>
    </row>
    <row r="186" spans="1:10" x14ac:dyDescent="0.3">
      <c r="A186">
        <v>185</v>
      </c>
      <c r="B186" t="s">
        <v>217</v>
      </c>
      <c r="C186">
        <v>68</v>
      </c>
      <c r="D186">
        <v>1900</v>
      </c>
      <c r="E186">
        <v>34700000</v>
      </c>
      <c r="F186">
        <v>34700000</v>
      </c>
      <c r="G186">
        <v>3.4900000000000003E-4</v>
      </c>
      <c r="H186">
        <v>1200000</v>
      </c>
      <c r="I186">
        <v>2800000000</v>
      </c>
      <c r="J186" t="s">
        <v>210</v>
      </c>
    </row>
    <row r="187" spans="1:10" x14ac:dyDescent="0.3">
      <c r="A187">
        <v>186</v>
      </c>
      <c r="B187" t="s">
        <v>218</v>
      </c>
      <c r="C187">
        <v>84</v>
      </c>
      <c r="D187">
        <v>4600</v>
      </c>
      <c r="E187">
        <v>34700000</v>
      </c>
      <c r="F187">
        <v>34700000</v>
      </c>
      <c r="G187" s="1">
        <v>5.7000000000000003E-5</v>
      </c>
      <c r="H187">
        <v>192300</v>
      </c>
      <c r="I187">
        <v>1700000000</v>
      </c>
      <c r="J187" t="s">
        <v>15</v>
      </c>
    </row>
    <row r="188" spans="1:10" x14ac:dyDescent="0.3">
      <c r="A188">
        <v>187</v>
      </c>
      <c r="B188" t="s">
        <v>219</v>
      </c>
      <c r="C188">
        <v>80</v>
      </c>
      <c r="D188">
        <v>110</v>
      </c>
      <c r="E188">
        <v>34600000</v>
      </c>
      <c r="F188">
        <v>34600000</v>
      </c>
      <c r="G188" s="1">
        <v>1.9999999999999999E-6</v>
      </c>
      <c r="H188">
        <v>0</v>
      </c>
      <c r="I188">
        <v>350900000</v>
      </c>
      <c r="J188" t="s">
        <v>13</v>
      </c>
    </row>
    <row r="189" spans="1:10" x14ac:dyDescent="0.3">
      <c r="A189">
        <v>188</v>
      </c>
      <c r="B189" t="s">
        <v>220</v>
      </c>
      <c r="C189">
        <v>83</v>
      </c>
      <c r="D189">
        <v>150</v>
      </c>
      <c r="E189">
        <v>34200000</v>
      </c>
      <c r="F189">
        <v>34200000</v>
      </c>
      <c r="G189" s="1">
        <v>2.0000000000000002E-5</v>
      </c>
      <c r="H189">
        <v>66800</v>
      </c>
      <c r="I189">
        <v>21200000</v>
      </c>
      <c r="J189" t="s">
        <v>15</v>
      </c>
    </row>
    <row r="190" spans="1:10" x14ac:dyDescent="0.3">
      <c r="A190">
        <v>189</v>
      </c>
      <c r="B190" t="s">
        <v>221</v>
      </c>
      <c r="C190">
        <v>77</v>
      </c>
      <c r="D190">
        <v>7300</v>
      </c>
      <c r="E190">
        <v>34200000</v>
      </c>
      <c r="F190">
        <v>34200000</v>
      </c>
      <c r="G190" s="1">
        <v>4.3999999999999999E-5</v>
      </c>
      <c r="H190">
        <v>132000</v>
      </c>
      <c r="I190">
        <v>1400000000</v>
      </c>
      <c r="J190" t="s">
        <v>13</v>
      </c>
    </row>
    <row r="191" spans="1:10" x14ac:dyDescent="0.3">
      <c r="A191">
        <v>190</v>
      </c>
      <c r="B191" t="s">
        <v>222</v>
      </c>
      <c r="C191">
        <v>83</v>
      </c>
      <c r="D191">
        <v>6300</v>
      </c>
      <c r="E191">
        <v>34100000</v>
      </c>
      <c r="F191">
        <v>34100000</v>
      </c>
      <c r="G191" s="1">
        <v>7.2999999999999999E-5</v>
      </c>
      <c r="H191">
        <v>247500</v>
      </c>
      <c r="I191">
        <v>4600000000</v>
      </c>
      <c r="J191" t="s">
        <v>13</v>
      </c>
    </row>
    <row r="192" spans="1:10" x14ac:dyDescent="0.3">
      <c r="A192">
        <v>191</v>
      </c>
      <c r="B192" t="s">
        <v>223</v>
      </c>
      <c r="C192">
        <v>79</v>
      </c>
      <c r="D192">
        <v>9300</v>
      </c>
      <c r="E192">
        <v>33700000</v>
      </c>
      <c r="F192">
        <v>33700000</v>
      </c>
      <c r="G192" s="1">
        <v>2.3E-5</v>
      </c>
      <c r="H192">
        <v>76500</v>
      </c>
      <c r="I192">
        <v>2200000000</v>
      </c>
      <c r="J192" t="s">
        <v>224</v>
      </c>
    </row>
    <row r="193" spans="1:10" x14ac:dyDescent="0.3">
      <c r="A193">
        <v>192</v>
      </c>
      <c r="B193" t="s">
        <v>225</v>
      </c>
      <c r="C193">
        <v>84</v>
      </c>
      <c r="D193">
        <v>1400</v>
      </c>
      <c r="E193">
        <v>33600000</v>
      </c>
      <c r="F193">
        <v>33600000</v>
      </c>
      <c r="G193">
        <v>3.5799999999999997E-4</v>
      </c>
      <c r="H193">
        <v>1200000</v>
      </c>
      <c r="I193">
        <v>2800000000</v>
      </c>
      <c r="J193" t="s">
        <v>23</v>
      </c>
    </row>
    <row r="194" spans="1:10" x14ac:dyDescent="0.3">
      <c r="A194">
        <v>193</v>
      </c>
      <c r="B194" t="s">
        <v>226</v>
      </c>
      <c r="C194">
        <v>63</v>
      </c>
      <c r="D194">
        <v>4500</v>
      </c>
      <c r="E194">
        <v>33500000</v>
      </c>
      <c r="F194">
        <v>33500000</v>
      </c>
      <c r="G194" s="1">
        <v>6.7000000000000002E-5</v>
      </c>
      <c r="H194">
        <v>220700</v>
      </c>
      <c r="I194">
        <v>3100000000</v>
      </c>
      <c r="J194" t="s">
        <v>227</v>
      </c>
    </row>
    <row r="195" spans="1:10" x14ac:dyDescent="0.3">
      <c r="A195">
        <v>194</v>
      </c>
      <c r="B195" t="s">
        <v>228</v>
      </c>
      <c r="C195">
        <v>41</v>
      </c>
      <c r="D195">
        <v>370</v>
      </c>
      <c r="E195">
        <v>33500000</v>
      </c>
      <c r="F195">
        <v>33500000</v>
      </c>
      <c r="G195">
        <v>1.6100000000000001E-4</v>
      </c>
      <c r="H195">
        <v>532700</v>
      </c>
      <c r="I195">
        <v>391900000</v>
      </c>
      <c r="J195" t="s">
        <v>91</v>
      </c>
    </row>
    <row r="196" spans="1:10" x14ac:dyDescent="0.3">
      <c r="A196">
        <v>195</v>
      </c>
      <c r="B196" t="s">
        <v>229</v>
      </c>
      <c r="C196">
        <v>75</v>
      </c>
      <c r="D196">
        <v>4800</v>
      </c>
      <c r="E196">
        <v>33300000</v>
      </c>
      <c r="F196">
        <v>33300000</v>
      </c>
      <c r="G196" s="1">
        <v>6.3E-5</v>
      </c>
      <c r="H196">
        <v>209200</v>
      </c>
      <c r="I196">
        <v>1300000000</v>
      </c>
      <c r="J196" t="s">
        <v>64</v>
      </c>
    </row>
    <row r="197" spans="1:10" x14ac:dyDescent="0.3">
      <c r="A197">
        <v>196</v>
      </c>
      <c r="B197" t="s">
        <v>230</v>
      </c>
      <c r="C197">
        <v>71</v>
      </c>
      <c r="D197">
        <v>2300</v>
      </c>
      <c r="E197">
        <v>33200000</v>
      </c>
      <c r="F197">
        <v>33200000</v>
      </c>
      <c r="G197">
        <v>1.3999999999999999E-4</v>
      </c>
      <c r="H197">
        <v>464700</v>
      </c>
      <c r="I197">
        <v>1400000000</v>
      </c>
      <c r="J197" t="s">
        <v>13</v>
      </c>
    </row>
    <row r="198" spans="1:10" x14ac:dyDescent="0.3">
      <c r="A198">
        <v>197</v>
      </c>
      <c r="B198" t="s">
        <v>231</v>
      </c>
      <c r="C198">
        <v>81</v>
      </c>
      <c r="D198">
        <v>3800</v>
      </c>
      <c r="E198">
        <v>33200000</v>
      </c>
      <c r="F198">
        <v>33200000</v>
      </c>
      <c r="G198" s="1">
        <v>6.3999999999999997E-5</v>
      </c>
      <c r="H198">
        <v>208000</v>
      </c>
      <c r="I198">
        <v>1500000000</v>
      </c>
      <c r="J198" t="s">
        <v>91</v>
      </c>
    </row>
    <row r="199" spans="1:10" x14ac:dyDescent="0.3">
      <c r="A199">
        <v>198</v>
      </c>
      <c r="B199" t="s">
        <v>232</v>
      </c>
      <c r="C199">
        <v>79</v>
      </c>
      <c r="D199">
        <v>770</v>
      </c>
      <c r="E199">
        <v>33200000</v>
      </c>
      <c r="F199">
        <v>33200000</v>
      </c>
      <c r="G199" s="1">
        <v>2.5999999999999998E-5</v>
      </c>
      <c r="H199">
        <v>82600</v>
      </c>
      <c r="I199">
        <v>149200000</v>
      </c>
      <c r="J199" t="s">
        <v>34</v>
      </c>
    </row>
    <row r="200" spans="1:10" x14ac:dyDescent="0.3">
      <c r="A200">
        <v>199</v>
      </c>
      <c r="B200" t="s">
        <v>233</v>
      </c>
      <c r="C200">
        <v>78</v>
      </c>
      <c r="D200">
        <v>2300</v>
      </c>
      <c r="E200">
        <v>33000000</v>
      </c>
      <c r="F200">
        <v>33000000</v>
      </c>
      <c r="G200">
        <v>1.4200000000000001E-4</v>
      </c>
      <c r="H200">
        <v>467700</v>
      </c>
      <c r="I200">
        <v>1700000000</v>
      </c>
      <c r="J200" t="s">
        <v>13</v>
      </c>
    </row>
    <row r="201" spans="1:10" x14ac:dyDescent="0.3">
      <c r="A201">
        <v>200</v>
      </c>
      <c r="B201" t="s">
        <v>234</v>
      </c>
      <c r="C201">
        <v>80</v>
      </c>
      <c r="D201">
        <v>4200</v>
      </c>
      <c r="E201">
        <v>32800000</v>
      </c>
      <c r="F201">
        <v>32800000</v>
      </c>
      <c r="G201" s="1">
        <v>3.0000000000000001E-5</v>
      </c>
      <c r="H201">
        <v>97400</v>
      </c>
      <c r="I201">
        <v>969100000</v>
      </c>
      <c r="J201" t="s">
        <v>83</v>
      </c>
    </row>
  </sheetData>
  <conditionalFormatting sqref="A1:J201">
    <cfRule type="containsBlanks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B1" zoomScale="111" workbookViewId="0">
      <selection activeCell="G17" sqref="G17"/>
    </sheetView>
  </sheetViews>
  <sheetFormatPr defaultRowHeight="14.4" x14ac:dyDescent="0.3"/>
  <cols>
    <col min="1" max="16384" width="8.88671875" style="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cleaned_data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2026-03-29T06:28:35Z</dcterms:created>
  <dcterms:modified xsi:type="dcterms:W3CDTF">2026-03-29T07:53:27Z</dcterms:modified>
</cp:coreProperties>
</file>